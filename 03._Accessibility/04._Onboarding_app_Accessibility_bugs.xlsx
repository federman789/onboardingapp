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pivotTables/pivotTable1.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166925"/>
  <mc:AlternateContent xmlns:mc="http://schemas.openxmlformats.org/markup-compatibility/2006">
    <mc:Choice Requires="x15">
      <x15ac:absPath xmlns:x15ac="http://schemas.microsoft.com/office/spreadsheetml/2010/11/ac" url="https://uniandes-my.sharepoint.com/personal/f_leal10_uniandes_edu_co/Documents/1. Newcastle University/6. Job Search/0. Github/onboardingapp/03._Accessibility/"/>
    </mc:Choice>
  </mc:AlternateContent>
  <xr:revisionPtr revIDLastSave="1511" documentId="14_{C14248FA-1D57-4F26-8D2C-5EE98494401B}" xr6:coauthVersionLast="47" xr6:coauthVersionMax="47" xr10:uidLastSave="{1F8BFE81-FB86-4D43-9916-9DB43DC36CD5}"/>
  <bookViews>
    <workbookView xWindow="-108" yWindow="-108" windowWidth="23256" windowHeight="12456" activeTab="2" xr2:uid="{3323E502-3BAC-4938-9030-87DAC242D981}"/>
  </bookViews>
  <sheets>
    <sheet name="Accessibility Bugs 1st Round" sheetId="2" r:id="rId1"/>
    <sheet name="Accessibility Bugs 3rd Round" sheetId="15" r:id="rId2"/>
    <sheet name="Summary" sheetId="4" r:id="rId3"/>
  </sheets>
  <definedNames>
    <definedName name="_xlnm._FilterDatabase" localSheetId="0" hidden="1">'Accessibility Bugs 1st Round'!$A$1:$N$84</definedName>
    <definedName name="_xlnm._FilterDatabase" localSheetId="1" hidden="1">'Accessibility Bugs 3rd Round'!$A$1:$M$84</definedName>
  </definedNames>
  <calcPr calcId="191028"/>
  <pivotCaches>
    <pivotCache cacheId="1" r:id="rId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75" i="2" l="1"/>
  <c r="L75" i="2" s="1"/>
  <c r="N75" i="2"/>
  <c r="M76" i="2"/>
  <c r="L76" i="2" s="1"/>
  <c r="N76" i="2"/>
  <c r="M77" i="2"/>
  <c r="L77" i="2" s="1"/>
  <c r="N77" i="2"/>
  <c r="M50" i="2"/>
  <c r="L50" i="2" s="1"/>
  <c r="N50" i="2"/>
  <c r="M51" i="2"/>
  <c r="L51" i="2" s="1"/>
  <c r="N51" i="2"/>
  <c r="M55" i="2"/>
  <c r="L55" i="2" s="1"/>
  <c r="N55" i="2"/>
  <c r="M61" i="2"/>
  <c r="L61" i="2" s="1"/>
  <c r="N61" i="2"/>
  <c r="M52" i="2"/>
  <c r="L52" i="2" s="1"/>
  <c r="N52" i="2"/>
  <c r="M53" i="2"/>
  <c r="L53" i="2" s="1"/>
  <c r="N53" i="2"/>
  <c r="M54" i="2"/>
  <c r="L54" i="2" s="1"/>
  <c r="N54" i="2"/>
  <c r="M56" i="2"/>
  <c r="L56" i="2" s="1"/>
  <c r="N56" i="2"/>
  <c r="M58" i="2"/>
  <c r="L58" i="2" s="1"/>
  <c r="N58" i="2"/>
  <c r="M59" i="2"/>
  <c r="L59" i="2" s="1"/>
  <c r="N59" i="2"/>
  <c r="M57" i="2"/>
  <c r="L57" i="2" s="1"/>
  <c r="N57" i="2"/>
  <c r="M60" i="2"/>
  <c r="L60" i="2" s="1"/>
  <c r="N60" i="2"/>
  <c r="M62" i="2"/>
  <c r="L62" i="2" s="1"/>
  <c r="N62" i="2"/>
  <c r="M63" i="2"/>
  <c r="L63" i="2" s="1"/>
  <c r="N63" i="2"/>
  <c r="M64" i="2"/>
  <c r="L64" i="2" s="1"/>
  <c r="N64" i="2"/>
  <c r="M65" i="2"/>
  <c r="L65" i="2" s="1"/>
  <c r="N65" i="2"/>
  <c r="M66" i="2"/>
  <c r="L66" i="2" s="1"/>
  <c r="N66" i="2"/>
  <c r="M67" i="2"/>
  <c r="L67" i="2" s="1"/>
  <c r="N67" i="2"/>
  <c r="M68" i="2"/>
  <c r="L68" i="2" s="1"/>
  <c r="N68" i="2"/>
  <c r="M69" i="2"/>
  <c r="L69" i="2" s="1"/>
  <c r="N69" i="2"/>
  <c r="M70" i="2"/>
  <c r="L70" i="2" s="1"/>
  <c r="N70" i="2"/>
  <c r="M71" i="2"/>
  <c r="L71" i="2" s="1"/>
  <c r="N71" i="2"/>
  <c r="M72" i="2"/>
  <c r="L72" i="2" s="1"/>
  <c r="N72" i="2"/>
  <c r="M73" i="2"/>
  <c r="L73" i="2" s="1"/>
  <c r="N73" i="2"/>
  <c r="M74" i="2"/>
  <c r="L74" i="2" s="1"/>
  <c r="N74" i="2"/>
  <c r="M47" i="2"/>
  <c r="L47" i="2" s="1"/>
  <c r="N47" i="2"/>
  <c r="M48" i="2"/>
  <c r="L48" i="2" s="1"/>
  <c r="N48" i="2"/>
  <c r="M49" i="2"/>
  <c r="L49" i="2" s="1"/>
  <c r="N49"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2" i="2"/>
  <c r="M46" i="2"/>
  <c r="L46" i="2" s="1"/>
  <c r="M45" i="2"/>
  <c r="L45" i="2" s="1"/>
  <c r="M44" i="2"/>
  <c r="L44" i="2" s="1"/>
  <c r="M43" i="2"/>
  <c r="L43" i="2" s="1"/>
  <c r="M42" i="2"/>
  <c r="L42" i="2" s="1"/>
  <c r="M41" i="2"/>
  <c r="L41" i="2" s="1"/>
  <c r="M40" i="2"/>
  <c r="L40" i="2" s="1"/>
  <c r="M39" i="2"/>
  <c r="L39" i="2" s="1"/>
  <c r="M38" i="2"/>
  <c r="L38" i="2" s="1"/>
  <c r="M37" i="2"/>
  <c r="L37" i="2" s="1"/>
  <c r="M36" i="2"/>
  <c r="L36" i="2" s="1"/>
  <c r="M35" i="2"/>
  <c r="L35" i="2" s="1"/>
  <c r="M34" i="2"/>
  <c r="L34" i="2" s="1"/>
  <c r="M33" i="2"/>
  <c r="L33" i="2" s="1"/>
  <c r="M32" i="2"/>
  <c r="L32" i="2" s="1"/>
  <c r="M31" i="2"/>
  <c r="L31" i="2" s="1"/>
  <c r="M30" i="2"/>
  <c r="L30" i="2" s="1"/>
  <c r="M29" i="2"/>
  <c r="L29" i="2" s="1"/>
  <c r="M28" i="2"/>
  <c r="L28" i="2" s="1"/>
  <c r="M27" i="2"/>
  <c r="L27" i="2" s="1"/>
  <c r="M26" i="2"/>
  <c r="L26" i="2" s="1"/>
  <c r="M25" i="2"/>
  <c r="L25" i="2" s="1"/>
  <c r="M24" i="2"/>
  <c r="L24" i="2" s="1"/>
  <c r="M23" i="2"/>
  <c r="L23" i="2" s="1"/>
  <c r="M22" i="2"/>
  <c r="L22" i="2" s="1"/>
  <c r="M21" i="2"/>
  <c r="L21" i="2" s="1"/>
  <c r="M20" i="2"/>
  <c r="L20" i="2" s="1"/>
  <c r="M19" i="2"/>
  <c r="L19" i="2" s="1"/>
  <c r="M18" i="2"/>
  <c r="L18" i="2" s="1"/>
  <c r="M17" i="2"/>
  <c r="L17" i="2" s="1"/>
  <c r="M16" i="2"/>
  <c r="L16" i="2" s="1"/>
  <c r="M15" i="2"/>
  <c r="L15" i="2" s="1"/>
  <c r="M14" i="2"/>
  <c r="L14" i="2" s="1"/>
  <c r="M13" i="2"/>
  <c r="L13" i="2" s="1"/>
  <c r="M12" i="2"/>
  <c r="L12" i="2" s="1"/>
  <c r="M11" i="2"/>
  <c r="L11" i="2" s="1"/>
  <c r="M10" i="2"/>
  <c r="L10" i="2" s="1"/>
  <c r="M9" i="2"/>
  <c r="L9" i="2" s="1"/>
  <c r="M8" i="2"/>
  <c r="L8" i="2" s="1"/>
  <c r="M7" i="2"/>
  <c r="L7" i="2" s="1"/>
  <c r="M6" i="2"/>
  <c r="L6" i="2" s="1"/>
  <c r="M5" i="2"/>
  <c r="L5" i="2" s="1"/>
  <c r="M4" i="2"/>
  <c r="L4" i="2" s="1"/>
  <c r="M3" i="2"/>
  <c r="L3" i="2" s="1"/>
  <c r="M2" i="2"/>
  <c r="L2"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tc={E0C36820-A96B-4E84-87A2-ADA50D39D259}</author>
    <author>tc={531B37CD-2747-4979-AD90-271F37343A14}</author>
  </authors>
  <commentList>
    <comment ref="H13" authorId="0" shapeId="0" xr:uid="{E0C36820-A96B-4E84-87A2-ADA50D39D259}">
      <text>
        <t xml:space="preserve">[Threaded comment]
Your version of Excel allows you to read this threaded comment; however, any edits to it will get removed if the file is opened in a newer version of Excel. Learn more: https://go.microsoft.com/fwlink/?linkid=870924
Comment:
    @William Pena (NEXTANT LLC) este debería quedar en ADO como "Active"?
Reply:
    @Enrique Monsalve (NEXTANT LLC) en ADO está como Active pero para nosotros acá está en Hold porque nos pasaron una herramienta que no nos funciona. Estamos esperando a que nos pasen la herramienta que ellos usaron. </t>
      </text>
    </comment>
    <comment ref="H22" authorId="1" shapeId="0" xr:uid="{531B37CD-2747-4979-AD90-271F37343A14}">
      <text>
        <t>[Threaded comment]
Your version of Excel allows you to read this threaded comment; however, any edits to it will get removed if the file is opened in a newer version of Excel. Learn more: https://go.microsoft.com/fwlink/?linkid=870924
Comment:
    @William Pena (NEXTANT LLC), este quedó como "Resolved" en ADO pero aquí esta diferente. Debería estar Completado?</t>
      </text>
    </comment>
  </commentList>
</comments>
</file>

<file path=xl/sharedStrings.xml><?xml version="1.0" encoding="utf-8"?>
<sst xmlns="http://schemas.openxmlformats.org/spreadsheetml/2006/main" count="941" uniqueCount="242">
  <si>
    <t>Responsable</t>
  </si>
  <si>
    <t>Status (Completado/En progreso/ No comenzado)</t>
  </si>
  <si>
    <t>Comentarios</t>
  </si>
  <si>
    <t>Mauricio</t>
  </si>
  <si>
    <t>Completado</t>
  </si>
  <si>
    <t>William</t>
  </si>
  <si>
    <t>Si</t>
  </si>
  <si>
    <t>Hold</t>
  </si>
  <si>
    <t>ID</t>
  </si>
  <si>
    <t>Work Item Type</t>
  </si>
  <si>
    <t>Title</t>
  </si>
  <si>
    <t>State</t>
  </si>
  <si>
    <t>Assigned To</t>
  </si>
  <si>
    <t>Aprobado por Accessibility</t>
  </si>
  <si>
    <t>Tags</t>
  </si>
  <si>
    <t>Severity</t>
  </si>
  <si>
    <t>ADO Synced</t>
  </si>
  <si>
    <t>ADO State</t>
  </si>
  <si>
    <t>ADO Assigned to</t>
  </si>
  <si>
    <t>Bug</t>
  </si>
  <si>
    <t>Bug 1516891: [Screen Readers - OLP Power Apps - Landing page]: Heading structure is not correctly defined on the page.</t>
  </si>
  <si>
    <t>New</t>
  </si>
  <si>
    <t>El deployment pasado no migró la aplicación con los bugs resueltos.</t>
  </si>
  <si>
    <t>2 - High</t>
  </si>
  <si>
    <t>Bug 1516910: [Visual Requirement - OLP Power Apps - Landing page]: Luminosity contrast ratio for the focus indicator on the 'Let's start' button is less than 3:1.</t>
  </si>
  <si>
    <t>A11y-1STPARTY; A11yMAS; A11yMASP3; CommonBrowsers; HCL; HCL_OLP - MayJune FY22 New Update; MAS 1.4.11; NewBaselineAssessment; RecID_8303</t>
  </si>
  <si>
    <t>El deployment pasado no migró la aplicación con los bugs resueltos.
WP (12/09/22): Revisar, se arrgeló y se verificó en UAT el viernes.</t>
  </si>
  <si>
    <t>3 - Medium</t>
  </si>
  <si>
    <t>Bug 1516917: [Supporting the platform - OLP Power Apps - Landing page]: After resizing the page at 200% zoom, page content is not displaying properly.</t>
  </si>
  <si>
    <t>A11y-1STPARTY; A11yMAS; A11yMASP3; CommonBrowsers; HCL; HCL_OLP - MayJune FY22 New Update; MAS 1.4.4; NewBaselineAssessment; RecID_8303</t>
  </si>
  <si>
    <t>Ajustamos los elementos del encabezado cumpliendo con los dos escenarios de zoom, nombre visible y foto visible en pantalla de portatil no de monitor</t>
  </si>
  <si>
    <t>Reactivado</t>
  </si>
  <si>
    <t>Bug 1517380: [Supporting the platform - OLP Power Apps - Landing page]: After resizing the page at 400% zoom mode, Keyboard Focus indicator is not properly visible for 'play video' button, while navigating using tab/shift tab key.</t>
  </si>
  <si>
    <t>A11y-1STPARTY; A11yMAS; A11yMASP3; CommonBrowsers; HCL; HCL_OLP - MayJune FY22 New Update; MAS 1.4.10; NewBaselineAssessment; RecID_8303</t>
  </si>
  <si>
    <t>No revisado</t>
  </si>
  <si>
    <t>A11y-1STPARTY; A11yMAS; A11yMASP3; CommonBrowsers; HCL; HCL_OLP - MayJune FY22 New Update; MAS 2.4.3; NewBaselineAssessment; RecID_8303</t>
  </si>
  <si>
    <t>Discutir solución con Federico, Focus se hizo sobre otro elemento.</t>
  </si>
  <si>
    <t>Pending w/ dependecy</t>
  </si>
  <si>
    <t>Bug 1517602: [Keyboard Navigation - OLP Power Apps - Content page]: Keyboard focus indicator is overlying on controls present inside the filter control.</t>
  </si>
  <si>
    <t>A11y-1STPARTY; A11yMAS; A11yMASP3; CommonBrowsers; HCL; HCL_OLP - MayJune FY22 New Update; MAS 2.4.7; NewBaselineAssessment; RecID_8303</t>
  </si>
  <si>
    <t>4 - Low</t>
  </si>
  <si>
    <t>Bug 1517603: [Visual Requirements - OLP Power Apps - Content page]: Luminosity contrast ratio of focus indicator for 'apply' and 'clear all' buttons is 2.1:1 which is less than 3:1.</t>
  </si>
  <si>
    <t>A11y-1STPARTY; A11yAuto; A11yMAS; A11yMASP3; CommonBrowsers; HCL; HCL_OLP - MayJune FY22 New Update; K4W; MAS 1.4.11; NewBaselineAssessment; RecID_8303</t>
  </si>
  <si>
    <t>Para este bug se debe trabajar con el Software Colour Contrast Analyser. Link para descargar software: https://www.tpgi.com/color-contrast-checker/</t>
  </si>
  <si>
    <t>Bug 1517604: [Keyboard Navigation - OLP Power Apps - Content page]: Keyboard focus is not moving to controls of filter dropdown when we invoke it.</t>
  </si>
  <si>
    <t>Accessibility team nos confirmó que es un product related bug.</t>
  </si>
  <si>
    <t>Bug 1517605: [Keyboard Navigation - OLP Power Apps - Content page]: Keyboard tab focus loss is observed after invoking 'Skip to main content'.</t>
  </si>
  <si>
    <t>Comentar en ADO: El comando de "Skip to ,ain Content" no es un control que nosotros configuremos, es algo del producto.</t>
  </si>
  <si>
    <t>Bug 1517616: [Screen Readers - OLP Power Apps - Content page]: Navigation and search landmarks/regions are not defined in the page.</t>
  </si>
  <si>
    <t>A11y-1STPARTY; A11yMAS; A11yMASP3; CommonScreenReaders; HCL; HCL_OLP - MayJune FY22 New Update; MAS 1.3.1; NewBaselineAssessment; RecID_8303</t>
  </si>
  <si>
    <t>Comentar en ADO con links de PA limitations.</t>
  </si>
  <si>
    <t>Bug 1517619: [Screen Readers - OLP Power Apps - Content page]: Headings are not defined in the page while navigating using heading shortcut key 'H' or down arrow key.</t>
  </si>
  <si>
    <t>A11y-1STPARTY; A11yMAS; A11yMASP3; CommonScreenReaders; HCL; HCL_OLP - MayJune FY22 New Update; MAS 2.4.6; NewBaselineAssessment; RecID_8303</t>
  </si>
  <si>
    <t>Bug 1517628: [Visual Requirement - OLP Power Apps - Content page]: After applying text spacing, the page content in the page is not properly displaying.</t>
  </si>
  <si>
    <t>A11y-1STPARTY; A11yMAS; A11yMASP3; CommonScreenReaders; HCL; HCL_OLP - MayJune FY22 New Update; MAS 1.4.12; NewBaselineAssessment; RecID_8303</t>
  </si>
  <si>
    <r>
      <t xml:space="preserve">Preguntamos por herramienta de text spacing.
</t>
    </r>
    <r>
      <rPr>
        <b/>
        <sz val="11"/>
        <color theme="1"/>
        <rFont val="Calibri"/>
        <family val="2"/>
        <scheme val="minor"/>
      </rPr>
      <t>Después de una reunión con el dos ingenieros de Accessibility, Dipankar y Sudheer. Nos comentaron que si utilizamos la fuente Segoe UI, no deberiamos de tener problema con el tema de text spacing.</t>
    </r>
  </si>
  <si>
    <t>Este punto no tiene que ver con PowerApps sino con el navegador Edge o Chrome.</t>
  </si>
  <si>
    <t>Pending w/ dependency</t>
  </si>
  <si>
    <t>No tiene nada que ver con la canvas app.</t>
  </si>
  <si>
    <t>Bug 1517691: [Usable - OLP Power Apps - Content page]: 'Collapse All' button is visually appearing as normal text.</t>
  </si>
  <si>
    <t>A11y-1STPARTY; A11yMASP3; A11yUsable; CommonScreenReaders; HCL; HCL_OLP - MayJune FY22 New Update; NewBaselineAssessment; RecID_8303</t>
  </si>
  <si>
    <t>Completado, con Borde y Focus Border funcional para navegación con teclado. Funcional igual para Aquatic y Desert themes.</t>
  </si>
  <si>
    <t>Bug 1517727: [Keyboard Navigation - OLP Power Apps - Content page]: Keyboard focus is unnecessarily moving to whole tile section upon activating 'Collapse All' or 'Expand All' control.</t>
  </si>
  <si>
    <t>Bug 1517736: [Keyboard Navigation - OLP Power Apps - Content page]: Filter control is not getting closed via ‘ESC’ key.</t>
  </si>
  <si>
    <t>A11y-1STPARTY; A11yMAS; A11yMASP3; CommonBrowsers; HCL; HCL_OLP - MayJune FY22 New Update; MAS 2.4.5; NewBaselineAssessment; RecID_8303</t>
  </si>
  <si>
    <t>Revisar si es PowerApps dependency, ya que no se ha encontrado una función que implemente lo que el usuario oprima en el teclado.</t>
  </si>
  <si>
    <t>Bug 1517884: [Screen Readers - OLP Power Apps - Content page]: Screen readers focus is not in sequential order on the page while navigating using arrow keys in browse/VPC mode.</t>
  </si>
  <si>
    <t>A11y-1STPARTY; A11yMAS; A11yMASP3; CommonScreenReaders; HCL; HCL_OLP - MayJune FY22 New Update; MAS 4.2.10; NewBaselineAssessment; RecID_8303</t>
  </si>
  <si>
    <t>Bug 1517891: [Screen Readers - OLP Power Apps - Content page]: Ensures every form element has a label.</t>
  </si>
  <si>
    <t>A11y-1STPARTY; A11yAuto; A11yMAS; A11yMASP3; CommonScreenReaders; HCL; HCL_OLP - MayJune FY22 New Update; K4W; MAS 4.1.2; NewBaselineAssessment; RecID_8303</t>
  </si>
  <si>
    <t>Bug 1517896: [Screen Readers - OLP Power Apps - Content page]: Ensures buttons have discernible text.</t>
  </si>
  <si>
    <t>Bug 1517906: [Screen Readers - OLP Power Apps - Content page]: Screen reader is announcing irrelevant information for progress bar, while navigating using browse mode</t>
  </si>
  <si>
    <r>
      <t xml:space="preserve">Investigar como hacer para que NVDA no lea el progress bar. O que lea un texto que uno quiera como "completion bar"
</t>
    </r>
    <r>
      <rPr>
        <b/>
        <i/>
        <u/>
        <sz val="11"/>
        <color theme="1"/>
        <rFont val="Calibri"/>
        <family val="2"/>
        <scheme val="minor"/>
      </rPr>
      <t xml:space="preserve">Comentario de Accessibility Team: 
</t>
    </r>
    <r>
      <rPr>
        <sz val="11"/>
        <color theme="1"/>
        <rFont val="Calibri"/>
        <family val="2"/>
        <scheme val="minor"/>
      </rPr>
      <t xml:space="preserve">
</t>
    </r>
    <r>
      <rPr>
        <i/>
        <sz val="11"/>
        <color theme="1"/>
        <rFont val="Calibri"/>
        <family val="2"/>
        <scheme val="minor"/>
      </rPr>
      <t xml:space="preserve">@William Pena Announcing Edit, Clickable by the screen reader can be controlled by their verbose settings and it is expected behavior based on the verbose selection of the user. 
If Blank is removed, please assign the bug back to us and resolve.
@Priyanka Mangla @David Payne </t>
    </r>
    <r>
      <rPr>
        <sz val="11"/>
        <color theme="1"/>
        <rFont val="Calibri"/>
        <family val="2"/>
        <scheme val="minor"/>
      </rPr>
      <t xml:space="preserve">
</t>
    </r>
    <r>
      <rPr>
        <b/>
        <u/>
        <sz val="11"/>
        <color rgb="FFFF0000"/>
        <rFont val="Calibri"/>
        <family val="2"/>
        <scheme val="minor"/>
      </rPr>
      <t xml:space="preserve">WP Update (09/09/22): </t>
    </r>
    <r>
      <rPr>
        <b/>
        <sz val="11"/>
        <color rgb="FFFF0000"/>
        <rFont val="Calibri"/>
        <family val="2"/>
        <scheme val="minor"/>
      </rPr>
      <t>Ya revisé con NVDA y no está leyendo ni diciendo el Blank, por lo cual el bug se devolvuelve a ellos y se envia a revisión.</t>
    </r>
  </si>
  <si>
    <t>Bug 1517907: [Visual Requirements - OLP Power Apps - Content page]: Luminosity contrast ratio fails for the search control border.</t>
  </si>
  <si>
    <t xml:space="preserve">
Se realiza el ajuste de la sombra del search text, color anterior #8F8B8B, nuevo color #808080, validamos que cumpliera con el contrast ratio 3:1</t>
  </si>
  <si>
    <t>Bug 1517928: [Visual Requirement - OLP Power Apps - Content page]: Luminosity contrast ratio for the 'Marked as complete', 'Thanks for your feedback' text is less than 4.5:1.</t>
  </si>
  <si>
    <t>A11y-1STPARTY; A11yMAS; A11yMASP3; CommonBrowsers; HCL; HCL_OLP - MayJune FY22 New Update; MAS 1.4.3; NewBaselineAssessment; RecID_8303</t>
  </si>
  <si>
    <t>Cambiar el color para que cumpla 4.5:1. Ojalá no negro Para este bug se debe trabajar con el Software Colour Contrast Analyser. Link para descargar software: https://www.tpgi.com/color-contrast-checker/</t>
  </si>
  <si>
    <t>Bug 1517947: [Supporting the platform - OLP Power Apps - Content page]: After resizing the page at 400% zoom, Hamburger is not getting closed using ‘ESC’ key.</t>
  </si>
  <si>
    <t>Bug 1517959: [Screen Readers - OLP Power Apps - Content page]: Screen readers are not narrating state information for 'Home' control while navigating using shortcut key 'B'.</t>
  </si>
  <si>
    <t>A11y-1STPARTY; A11yMAS; A11yMASP3; CommonScreenReaders; HCL; HCL_OLP - MayJune FY22 New Update; MAS 4.1.2; NewBaselineAssessment; RecID_8303</t>
  </si>
  <si>
    <r>
      <rPr>
        <b/>
        <sz val="11"/>
        <color rgb="FFFF0000"/>
        <rFont val="Calibri"/>
        <family val="2"/>
        <scheme val="minor"/>
      </rPr>
      <t>Bug reactivado. REVISAR</t>
    </r>
    <r>
      <rPr>
        <sz val="11"/>
        <color theme="1"/>
        <rFont val="Calibri"/>
        <family val="2"/>
        <scheme val="minor"/>
      </rPr>
      <t xml:space="preserve">
Necesitan saber current state (si el usuario está en Home o en Browse). Posible solución. Label (visible) detrás del botón, con tab index 0. con text= "if(…. "Current state Home"). Onselect: select Thisitem.Button.
FL: Sudheer va a pasar la solición. William porfa actualice el item en ADO (pedir la solución).
WP: Se marcó como completado, ya que segú la reunión de hoy Sept 6 Dipankar mencionó que estos deberíamos de asignarlos de vuelta a ellos.</t>
    </r>
  </si>
  <si>
    <t>Bug 1517961: [Screen Readers - OLP Power Apps - Content page]: Screen reader not narrating correct state information for filter control, while navigating using browse mode</t>
  </si>
  <si>
    <t>Arreglar para sort y filter en ambas vistas y en Brwose y Content screen.</t>
  </si>
  <si>
    <t>Bug 1517966: [Screen Readers - OLP Power Apps - Content page]: Screen readers are narrating unnecessary role for plain text.</t>
  </si>
  <si>
    <t>Puede que nos molesten porque el screen reader lee "greater than" (&gt;)</t>
  </si>
  <si>
    <t>Bug 1517968: [Keyboard Navigation - OLP Power Apps - Content page]: Visual focus indicator is not clearly visible on 'cancel' button while navigating using keyboard Tab key.</t>
  </si>
  <si>
    <t>Realizamos el ajuste pertinente sobre el cancel del search text, ya se visualiza por completo cuando se utiliza el tabulador</t>
  </si>
  <si>
    <t>Bug 1517970: [Supporting the platform - OLP Power Apps - Content page]: After resizing the page at 400% zoom, Keyboard focus is not moving to the menu items after expanding hamburger while navigating using tab key.</t>
  </si>
  <si>
    <t>Bug 1517977: [Supporting the platform - OLP Power Apps - Content page]: After resizing the page at 200% zoom, Keyboard focus is not moving to the sort related controls upon activating 'Sort' button.</t>
  </si>
  <si>
    <t>Accessibility team nos confirmó que es un product related bug. Existe la alternativa de SetFocus al botton de "Apply.</t>
  </si>
  <si>
    <t>Bug 1517978: [Usable - OLP Power Apps - Content page]: Text is not aligned properly for the tiles present in the page and normal mode.</t>
  </si>
  <si>
    <t>A11y-1STPARTY; A11yMAS; A11yMASP3; CommonBrowsers; HCL; HCL_OLP - MayJune FY22 New Update; MAS 4.2.7; NewBaselineAssessment; RecID_8303</t>
  </si>
  <si>
    <t>Bug 1517980: [Supporting the platform - OLP Power Apps - Content page]: After resizing the page at 400% zoom, Keyboard focus indicator truncated for 'Filter' and 'Sort' buttons while navigating using tab or shift tab key.</t>
  </si>
  <si>
    <t>Se realiza el ajuste solicitado, los focus border ya no se contraponen</t>
  </si>
  <si>
    <t>Bug 1517982: [Screen Readers - OLP Power Apps - Content page]: Screen reader focus moving multiple times to buttons in the page while navigating using the down arrow key.</t>
  </si>
  <si>
    <t>Bug 1517987: [Visual Requirement - OLP Power Apps - Content page]: After applying text spacing, text is getting overlapped.</t>
  </si>
  <si>
    <t>A11y-1STPARTY; A11yMAS; A11yMASP3; CommonBrowsers; HCL; HCL_OLP - MayJune FY22 New Update; MAS 1.4.12; NewBaselineAssessment; RecID_8303</t>
  </si>
  <si>
    <t>Bug 1517990: [Screen Readers- OLP Power Apps - Content page]: Screen reader does not announce any information after activating 'Back to your area' button.</t>
  </si>
  <si>
    <t>Revisar si es una PowerApp dependency, ya que o se puede hacer focus a otra pantalla desde un botón localizado en un pantalla diferente.</t>
  </si>
  <si>
    <t>Bug 1517993: [Screen Readers - OLP Power Apps - Content page]: Screen readers are not narrating the role for the pagination controls in the page.</t>
  </si>
  <si>
    <t>Bug 1517996: [Visual Requirement - OLP Power Apps - Content page]: Screen reader does not announce any information after activating 'Bookmark', 'Mark as complete' or 'Rate content' controls.</t>
  </si>
  <si>
    <t>Bug 1518003: [Screen Readers - OLP Power Apps - Content page]: Screen reader focus is moving to hidden content when we invoke 'Home' control.</t>
  </si>
  <si>
    <t>Revisar, el botón anuncia el nombre del focus que se hace cuando se selecciona esta pantalla.</t>
  </si>
  <si>
    <t>Bug 1518005: [Screen Readers - OLP Power Apps - Content page]: Screen Reader focus (NVDA/JAWS) is unnecessarily moving to the hidden control i.e. starting of the page upon invoking 'Filter' control while navigating in browse or VPC mode.</t>
  </si>
  <si>
    <t>Bug 1518011: [Keyboard Navigation - OLP Power Apps - Content page]: Keyboard focus indicator is not visible on the entire page for tiles.</t>
  </si>
  <si>
    <t>El focus borde esta implementado, y es visible</t>
  </si>
  <si>
    <t>Bug 1518029: [Supporting the platform - OLP Power Apps - Content page]: After resizing the page at 400% zoom, multiple scrollbars appear on the page.</t>
  </si>
  <si>
    <r>
      <rPr>
        <b/>
        <sz val="11"/>
        <color rgb="FFFF0000"/>
        <rFont val="Calibri"/>
        <family val="2"/>
        <scheme val="minor"/>
      </rPr>
      <t>Bug reactivado. REVISAR</t>
    </r>
    <r>
      <rPr>
        <sz val="11"/>
        <color theme="1"/>
        <rFont val="Calibri"/>
        <family val="2"/>
        <scheme val="minor"/>
      </rPr>
      <t xml:space="preserve">
Desactivamos desplazamiento vertical para algunos contenedores manteniendo funcionalidad de scroll, sin embargo las demas scroll bar se activan desde el navegador no desde la aplicación.
FL: Sudheer va a pasar la solición. William porfa actualice el item en ADO (pedir la solución).</t>
    </r>
  </si>
  <si>
    <t>Bug 1518044: [Supporting the platform - OLP Power Apps - Content page]: After resizing the page at 400% zoom, Screen reader (NVDA/JAWS) is not narrating the name of the few buttons present on the page.</t>
  </si>
  <si>
    <t>Se hizo cambio en Content y Browse screen.</t>
  </si>
  <si>
    <t>Bug 1518053: [Supporting the platform - OLP Power Apps - Content page]: In High contrast Aquatic modes, Keyboard focus indicator is not displaying properly for 'Home', 'Browse' links.</t>
  </si>
  <si>
    <t>A11y-1STPARTY; A11yMAS; A11yMASP3; CommonBrowsers; HCL; HCL_OLP - MayJune FY22 New Update; MAS 4.3.1; NewBaselineAssessment; RecID_8303</t>
  </si>
  <si>
    <t>Bug 1518059: [Supporting the platform - OLP Power Apps - Content page]: In High contrast Aquatic Desert modes, Differentiation for selected/unselected tile is not able to differentiate.</t>
  </si>
  <si>
    <t>Bug 1518070: [Supporting the platform - OLP Power Apps - Content page]: At 400% zoom mode, ensures every ARIA button, link and menu item has an accessible name</t>
  </si>
  <si>
    <t>Bug 1521753: [Screen Readers - OLP Power Apps - Content page]: Screen reader focus is moving twice to 'bookmark' control in browse mode.</t>
  </si>
  <si>
    <t>Bug 1521759: [Usable - OLP Power Apps - Content page]: Content is not getting displayed for tiles on the page.</t>
  </si>
  <si>
    <t>Este bug corresponde a datos del backend, más no al front end o accessibility.</t>
  </si>
  <si>
    <t>Bug 1521793: [Screen Readers - OLP Power Apps - Content page]: Ensures buttons have discernible text.</t>
  </si>
  <si>
    <t>[Screen Readers - OLP Power Apps - Content page]: Ensures buttons have discernible text.</t>
  </si>
  <si>
    <t>Bug 1521798: [Supporting the platform - OLP Power Apps - Content page]: After resizing the page at 200% zoom, page content is not displaying properly.</t>
  </si>
  <si>
    <t>[Keyboard Navigation - OLP Power Apps - Content page]: Drop down menu items are not displaying for 'Program' control upon receiving keyboard focus while navigating using arrow keys.</t>
  </si>
  <si>
    <t>Bug 1521835: [Keyboard Navigation - OLP Power Apps - Content page]: Drop down menu items are not displaying for 'Program' control upon receiving keyboard focus while navigating using arrow keys.</t>
  </si>
  <si>
    <t>[Supporting the platform - OLP Power Apps - Content page]: At 400% zoom mode, horizontal scrollbar appears on the page.</t>
  </si>
  <si>
    <t>Bug 1521836: [Supporting the platform - OLP Power Apps - Content page]: At 400% zoom mode, horizontal scrollbar appears on the page.</t>
  </si>
  <si>
    <t>Mismo problema de las scrollbars del navegador en 400% zoom.</t>
  </si>
  <si>
    <t>[Visual Requirements - OLP Power Apps - Content page]: After applying text spacing, few content present on the page is getting truncated.</t>
  </si>
  <si>
    <t>Bug 1521837: [Visual Requirements - OLP Power Apps - Content page]: After applying text spacing, few content present on the page is getting truncated.</t>
  </si>
  <si>
    <t>[Supporting the platform - OLP Power Apps - Content page]: At 400% Zoom mode, two vertical scroll bars appear on the page.</t>
  </si>
  <si>
    <t>Bug 1521838: [Supporting the platform - OLP Power Apps - Content page]: At 400% Zoom mode, two vertical scroll bars appear on the page.</t>
  </si>
  <si>
    <t>[Supporting the platform - OLP Power Apps - Content page]: At 400% Zoom mode, few content present in the page getting truncated.</t>
  </si>
  <si>
    <t>Bug 1521839: [Supporting the platform - OLP Power Apps - Content page]: At 400% Zoom mode, few content present in the page getting truncated.</t>
  </si>
  <si>
    <t>[Supporting the platform - OLP Power Apps - Content page]: At 400% zoom mode, User is unable to select the drop-down menu item options for combo box while navigating using keyboard.</t>
  </si>
  <si>
    <t>Bug 1521840: [Supporting the platform - OLP Power Apps - Content page]: At 400% zoom mode, User is unable to select the drop-down menu item options for combo box while navigating using keyboard.</t>
  </si>
  <si>
    <r>
      <t xml:space="preserve">Revisar, porque la idea era no hacer la pantalla responsive.
</t>
    </r>
    <r>
      <rPr>
        <b/>
        <sz val="11"/>
        <color theme="1"/>
        <rFont val="Calibri"/>
        <family val="2"/>
        <scheme val="minor"/>
      </rPr>
      <t>Nuestro comentario para team de accessibility:</t>
    </r>
    <r>
      <rPr>
        <sz val="11"/>
        <color theme="1"/>
        <rFont val="Calibri"/>
        <family val="2"/>
        <scheme val="minor"/>
      </rPr>
      <t xml:space="preserve"> When addressing this bug, we found that a dropdown dynamic height is not a Power Apps function. This might be a product related bug, as from our research we didn't find any information on how to make the dropdown (expanded options) more visible or adjust its size according to the screen. 
</t>
    </r>
    <r>
      <rPr>
        <b/>
        <sz val="11"/>
        <color theme="5" tint="-0.249977111117893"/>
        <rFont val="Calibri"/>
        <family val="2"/>
        <scheme val="minor"/>
      </rPr>
      <t>Pending w/ dependency</t>
    </r>
  </si>
  <si>
    <t>[Supporting the platform - OLP Power Apps - Content page] In high contrast (Aquatic /Desert) mode additional chevron icon is observed in the header region.</t>
  </si>
  <si>
    <t>Bug 1521841: [Supporting the platform - OLP Power Apps - Content page] In high contrast (Aquatic /Desert) mode additional chevron icon is observed in the header region.</t>
  </si>
  <si>
    <t>[Supporting the platform - OLP Power Apps - Content page]: In high contrast (Aquatic /Desert) mode, Borders are not provided for the form fields present in the page.</t>
  </si>
  <si>
    <t>Bug 1521842: [Supporting the platform - OLP Power Apps - Content page]: In high contrast (Aquatic /Desert) mode, Borders are not provided for the form fields present in the page.</t>
  </si>
  <si>
    <t>[Supporting the platform - OLP Power Apps - Content page]: In high contrast (Aquatic /Desert) mode, Keyboard focus indicator is not displaying properly on 'Reset filters'.</t>
  </si>
  <si>
    <t>Bug 1521843: [Supporting the platform - OLP Power Apps - Content page]: In high contrast (Aquatic /Desert) mode, Keyboard focus indicator is not displaying properly on 'Reset filters'.</t>
  </si>
  <si>
    <t>[Screen Readers - OLP Power Apps - Content page]: Screen reader (NVDA/JAWS) focus is moving twice to 'Back to main page' control while navigating in browse mode.</t>
  </si>
  <si>
    <t>Bug 1521844: [Screen Readers - OLP Power Apps - Content page]: Screen reader (NVDA/JAWS) focus is moving twice to 'Back to main page' control while navigating in browse mode.</t>
  </si>
  <si>
    <t>Revisar, si solo se debe mover al icono mas no al label.</t>
  </si>
  <si>
    <t>[Screen Readers - OLP Power Apps - Content page]: Screen readers are narrating unnecessary 'Role' as button for 'Normal text', Present in the page, while navigating using down arrow key.</t>
  </si>
  <si>
    <t>Bug 1521867: [Screen Readers - OLP Power Apps - Content page]: Screen readers are narrating unnecessary 'Role' as button for 'Normal text', Present in the page, while navigating using down arrow key.</t>
  </si>
  <si>
    <t>[Keyboard Navigation- OLP Power Apps]: Keyboard focus moving to non-interactive text i.e., Area while navigating using keyboard tab key.</t>
  </si>
  <si>
    <t>Bug 1521868: [Keyboard Navigation- OLP Power Apps]: Keyboard focus moving to non-interactive text i.e., Area while navigating using keyboard tab key.</t>
  </si>
  <si>
    <t>[Keyboard Navigation - OLP Power Apps - Content page]: Keyboard tab focus loss is observed after invoking 'Skip to main content'.</t>
  </si>
  <si>
    <t>Bug 1521871: [Keyboard Navigation - OLP Power Apps - Content page]: Keyboard tab focus loss is observed after invoking 'Skip to main content'.</t>
  </si>
  <si>
    <t>[Keyboard Navigation - OLP Power Apps - Content page]: Keyboard focus is not on sequential order in the page, while navigating using keyboard tab key.</t>
  </si>
  <si>
    <t>Bug 1521879: [Keyboard Navigation - OLP Power Apps - Content page]: Keyboard focus is not on sequential order in the page, while navigating using keyboard tab key.</t>
  </si>
  <si>
    <t>Revisar Propuesta con Federico</t>
  </si>
  <si>
    <t>[Screen Readers - OLP Power Apps - Content page]: Table is not defined for the content which is visually appearing as table present on the page.</t>
  </si>
  <si>
    <t>Bug 1521880: [Screen Readers - OLP Power Apps - Content page]: Table is not defined for the content which is visually appearing as table present on the page.</t>
  </si>
  <si>
    <t>[Screen Readers - OLP Power Apps - Content page]: Screen reader not narrating unavailable information for buttons (PP-1001) present in the page.</t>
  </si>
  <si>
    <t>Bug 1521890: [Screen Readers - OLP Power Apps - Content page]: Screen reader not narrating unavailable information for buttons (PP-1001) present in the page.</t>
  </si>
  <si>
    <t>[Screen Readers - OLP Power Apps]:'Form landmark' is not defined on the page.</t>
  </si>
  <si>
    <t>Bug 1521898: [Screen Readers - OLP Power Apps]:'Form landmark' is not defined on the page.</t>
  </si>
  <si>
    <t>[Screen Readers - OLP Power Apps]: Screen reader narrating extra verbose information for all the drop-down fields while navigating using short cut key 'f'.</t>
  </si>
  <si>
    <t>Bug 1521900: [Screen Readers - OLP Power Apps]: Screen reader narrating extra verbose information for all the drop-down fields while navigating using short cut key 'f'.</t>
  </si>
  <si>
    <t>Discutir con Federico la solución.</t>
  </si>
  <si>
    <t>[Supporting the platform- OLP Power Apps]: In High contrast Aquatic Desert modes, Differentiation for selected/unselected row is not able to differentiate</t>
  </si>
  <si>
    <t>Bug 1521930: [Supporting the platform- OLP Power Apps]: In High contrast Aquatic Desert modes, Differentiation for selected/unselected row is not able to differentiate</t>
  </si>
  <si>
    <t>[Visual Requirements - OLP Power Apps - Content page]: Luminosity contrast ratio fails edit or combo box fields border with its background.</t>
  </si>
  <si>
    <t>Bug 1522081: [Visual Requirements - OLP Power Apps - Content page]: Luminosity contrast ratio fails edit or combo box fields border with its background.</t>
  </si>
  <si>
    <t>[Supporting the platform - OLP Power Apps - Content page]: In High contrast Aquatic and Desert modes, Keyboard focus indicator is not visible on 'view other learning path' button while navigating using tab</t>
  </si>
  <si>
    <t>Bug 1522082: [Supporting the platform - OLP Power Apps - Content page]: In High contrast Aquatic and Desert modes, Keyboard focus indicator is not visible on 'view other learning path' button while navigating using tab</t>
  </si>
  <si>
    <t>[Screen Readers - OLP Power Apps]: Screen reader (NVDA) does not announce any information after activating 'Go' button.</t>
  </si>
  <si>
    <t>Bug 1522083: [Screen Readers - OLP Power Apps]: Screen reader (NVDA) does not announce any information after activating 'Go' button.</t>
  </si>
  <si>
    <t>Revisar este bug, ya que se probó con NVDA y si esta narrando información.</t>
  </si>
  <si>
    <t>[Keyboard Navigation - OLP Power Apps - Content page]: Keyboard focus loss is observed after invoking 'view other learning path' button while navigating using tab key</t>
  </si>
  <si>
    <t>Bug 1522085: [Keyboard Navigation - OLP Power Apps - Content page]: Keyboard focus loss is observed after invoking 'view other learning path' button while navigating using tab key</t>
  </si>
  <si>
    <t>[Keyboard Navigation - OLP Power Apps - Content page]: Keyboard focus indicator is not properly visible after invoking 'Go' button while navigating using tab key</t>
  </si>
  <si>
    <t>Bug 1522094: [Keyboard Navigation - OLP Power Apps - Content page]: Keyboard focus indicator is not properly visible after invoking 'Go' button while navigating using tab key</t>
  </si>
  <si>
    <t>Bug 1528136: [Screen Readers - OLP Power Apps]: Screen reader (NVDA/JAWS) narrates 'Home' and 'Browse' button information twice while navigating using short cut key 'K'.</t>
  </si>
  <si>
    <t>Bug 1528235: [Visual Requirements - OLP Power Apps - Content page]: Luminosity contrast ratio of the selected table data text with its background is less than 4.5:1.</t>
  </si>
  <si>
    <t>Bug 1528636: [Supporting the platform - OLP Power Apps - Content page]: In High contrast (Aquatic/Desert) modes, 'Browse' control is not visible properly.</t>
  </si>
  <si>
    <t>WP (12/09/12): Hacer comentario en ADO, ya que a la persona que revisó el app, no le aparece igual que a nosotros. En mi caso, cuando habilito los modos de Desert y Aquatic si puedo ver los bordr y el cambio de color en las letras de "Home" y "Browse".</t>
  </si>
  <si>
    <t>Bug 1531300: [Keyboard Navigation - OLP Power Apps - Content page]: Keyboard focus order is not in sequential order after invoking 'Filter' control while navigating using keyboard tab key.</t>
  </si>
  <si>
    <t>Bug 1531353: [Visual Requirement - OLP Power Apps - Content page]: Luminosity ratio of high contrast theme related dropdown controls with focus indicator fails to meet minimum required ratio.</t>
  </si>
  <si>
    <t>Bug 1531357: [Visual Requirement - OLP Power Apps - Content page]: Luminosity ratio of 'Browse' control with mouse hover is less than the minimum required ratio.</t>
  </si>
  <si>
    <t>Bug 1531362: [Visual Requirement - OLP Power Apps - Content page]: Luminosity ratio of text i.e:'PP7296' in the table is less than the minimum required ratio.</t>
  </si>
  <si>
    <t>Bug 1531367: [Usable - OLP Power Apps - Content page]: Unnecessary text/icon is provided in the page.</t>
  </si>
  <si>
    <t>Bug 1531395: [Screen readers - OLP Power Apps] : Generic page title is provided for all pages in the application.</t>
  </si>
  <si>
    <t>Bug 1531706: [Keyboard Navigation - OLP Power Apps - Content page]: Keyboard focus moves out of the filter drop down control without closing it.</t>
  </si>
  <si>
    <t>Closed</t>
  </si>
  <si>
    <t>Reactivated</t>
  </si>
  <si>
    <t>Count of Title</t>
  </si>
  <si>
    <t>Column Labels</t>
  </si>
  <si>
    <t>Row Labels</t>
  </si>
  <si>
    <t>Grand Total</t>
  </si>
  <si>
    <t>Resolved</t>
  </si>
  <si>
    <t>[Supporting the platform -Jan FY23 OLP My Choice Update - Access page]: In high contrast Desert mode, Profile and MCAPS related text is not displaying properly.</t>
  </si>
  <si>
    <t>[Usable -Jan FY23 OLP My Choice Update]: Visual differentiation is not provided for selected/un-selected controls after selecting 'My choice' control.</t>
  </si>
  <si>
    <t>[Visual Requirements -Jan FY23 OLP My Choice Update - Access page]: luminosity ratio of mark as complete and thanks for your feedback text fails to meet required ratio of 4.5:1.</t>
  </si>
  <si>
    <t>[Screen Readers -Jan FY23 OLP My Choice Update - Access page]: Heading &lt;h1&gt; is not defined in the page.</t>
  </si>
  <si>
    <t>[Screen Readers -Jan FY23 OLP My Choice Update - Access page]: Screen reader (NVDA/JAWS) focus is not moving to the main landmark content present in the page while navigating using down arrow key in browse mode.</t>
  </si>
  <si>
    <t>[Visual Requirements -Jan FY23 OLP My Choice Update - Access page]: Keyboard focus indicator is not visible on 'Request access' control while navigating using keyboard tab key.</t>
  </si>
  <si>
    <t>[Usable -Jan FY23 OLP My Choice Update - Access page]: High contrast modes are not applying to the few content present on the page.</t>
  </si>
  <si>
    <t>[Visual Requirements -Jan FY23 OLP My Choice Update - Access page]: Luminosity ratio fails for 'Submit' button text fails to meet required ratio of 4.5:1.</t>
  </si>
  <si>
    <t>[Visual Requirements -Jan FY23 OLP My Choice Update - Access page]: Luminosity contrast ratio of 'Modality' dropdown Text fails to meet the minimum required luminosity ratio of 3:1.</t>
  </si>
  <si>
    <t>[Screen Readers -Jan FY23 OLP My Choice Update]: Label information is not mapped with the edit filed while navigating in focus mode.</t>
  </si>
  <si>
    <t>[Screen Readers -Jan FY23 OLP My Choice Update]: Screen reader (NVDA/JAWS) not narrating state information for the 'All in path' control while navigating in focus mode.</t>
  </si>
  <si>
    <t>[Screen Readers -Jan FY23 OLP My Choice Update - Access page]: Screen reader (JAWS) focus is moving to the hidden content after 'Account manager' control while navigating using down arrow key.</t>
  </si>
  <si>
    <t>[Keyboard Navigation -Jan FY23 OLP My Choice Update]: Keyboard focus is not landing on the triggered control after invoking back to main content Button.</t>
  </si>
  <si>
    <t>[Supporting the platform -Jan FY23 OLP My Choice Update - Content page]: After applying text spacing, 'Assigned to you' control text is getting truncated.</t>
  </si>
  <si>
    <t>[Keyboard Navigation -Jan FY23 OLP My Choice Update]: keyboard focus is unnecessarily moving to non-interactive 'modality' control.</t>
  </si>
  <si>
    <t>[Screen Readers -Jan FY23 OLP My Choice Update - Access page]: Screen readers (NVDA/JAWS) narrate the role information twice topic 'B' button.</t>
  </si>
  <si>
    <t>[Visual Requirements -Jan FY23 OLP My Choice Update - Access page]: Incorrect Tooltip is provided for 'Path' control present in the page.</t>
  </si>
  <si>
    <t>[Visual Requirements -Jan FY23 OLP My Choice Update - Access page]: Luminosity ratio of focus indicator of 'Let's start' control with its background color is less than the required ratio of 3:1.</t>
  </si>
  <si>
    <t>[Keyboard Navigation -Jan FY23 OLP My Choice Update]: Keyboard focus loss is observed after invoking submit button while navigating using keyboard tab key.</t>
  </si>
  <si>
    <t>[Visual Requirements -Jan FY23 OLP My Choice Update - Access page]: Tooltip is not provided for the 'Close(X)' control present inside the 'Search' control.</t>
  </si>
  <si>
    <t>[Supporting the platform -Jan FY23 OLP My Choice Update - Access page]: At 400% zoom mode, few content present on the page is getting truncated.</t>
  </si>
  <si>
    <t>[Supporting the platform -Jan FY23 OLP My Choice Update - Access page]: At 400% zoom mode, ensures aria-hidden elements do not contain focusable elements.</t>
  </si>
  <si>
    <t>[Screen Readers -Jan FY23 OLP My Choice Update]: Screen reader (NVDA/JAWS) not narrating additional information for the link(aka.ms/ONB) while navigating in focus mode.</t>
  </si>
  <si>
    <t>[Keyboard Navigation -Jan FY23 OLP My Choice Update - Access page]: Keyboard tab focus loss is observed after invoking 'Skip to main content'.</t>
  </si>
  <si>
    <t>Pending with dependency</t>
  </si>
  <si>
    <t>Esperando feedback de Sudheer del team de accessibility.</t>
  </si>
  <si>
    <t>Nicolás</t>
  </si>
  <si>
    <t>Bug 1592691: [Keyboard Navigation -Jan FY23 OLP My Choice Update - Access page]: Rating is automatically getting submitted without selecting star controls.</t>
  </si>
  <si>
    <t>Bug 1592695: [Functional - Jan FY23 OLP My Choice Update]: Form is getting submitted after activating 'Submit' button without filling required data.</t>
  </si>
  <si>
    <t>Bug 1592714: [Screen Readers -Jan FY23 OLP My Choice Update - Program Parameter (Role) Picker4]: Screen reader (NVDA) is not narrating table data information properly while navigating using tab or shift tab key.</t>
  </si>
  <si>
    <t>Bug 1592717: [Screen Readers -Jan FY23 OLP My Choice Update]: Screen reader (NVDA) not narrating state information even after we select a particular control while navigating in focus mode.</t>
  </si>
  <si>
    <t>Bug 1592719: [Keyboard Navigation - Jan FY23 OLP My Choice Update]: Keyboard focus is moving to non-interactive control ('*') while navigating using keyboard tab key.</t>
  </si>
  <si>
    <t>Bug 1592703: [Screen readers - Jan FY23 OLP My Choice Update]: Screen reader not narrating descriptive name for the left navigation controls while navigating in focus mode.</t>
  </si>
  <si>
    <t>Bug 1592706: [Screen Readers -Jan FY23 OLP My Choice Update - Program Parameter (Role) Picker4]: Visual label is not associated/mapped for combo/drop down box while navigating using screen reader.  </t>
  </si>
  <si>
    <t>Bug 1592707: [Keyboard Navigation - Jan FY23 OLP My Choice Update]: Keyboard focus loss is observed after 'Back to browse' control while navigating using keyboard tab key.</t>
  </si>
  <si>
    <t>Bug 1592722: [Screen Readers -Jan FY23 OLP My Choice Update]: Screen reader (NVDA) not narrating state information for the 'header section controls while navigating in focus mode.</t>
  </si>
  <si>
    <t>Bug 1592736: [Usable -Jan FY23 OLP My Choice Update - Program Parameter (Role) Picker4]: Alternative way or shortcut key is not provided to access the control present after table while navigating using keyboard.</t>
  </si>
  <si>
    <t>Bug 1592737: [Keyboard Navigation - Jan FY23 OLP My Choice Update]: Keyboard tab focus loss is observed after invoking on 'Topic B' Button, while navigating using keyboard tab key.</t>
  </si>
  <si>
    <t>Bug 1592748: [Visual Requirements -Jan FY23 OLP My Choice Update - Program Parameter (Role) Picker4]: After applying text spacing 'program parameter (Role) picker 4' text is getting truncated.</t>
  </si>
  <si>
    <t>Bug 1592699: [Screen readers - Jan FY23 OLP My Choice Update]: Visually appearing as heading but programmatically not defined as heading.</t>
  </si>
  <si>
    <t>Bug 1592676: [Visual Requirements -Jan FY23 OLP My Choice Update - Access page]: Irrelevant tooltip is defined for Register button.</t>
  </si>
  <si>
    <t>Bug 1517633: [Keyboard Navigation - OLP Power Apps - Content page]: Keyboard focus indicator is overlying with  control while navigating using tab or shift tab key.</t>
  </si>
  <si>
    <t>Bug 1517638: [Screen Readers - OLP Power Apps - Content page]: Screen Readers (NVDA/JAWS) are narrating incorrect name for  logo as 'organizational logo' in the page, while navigating using Browse/VPC mode.</t>
  </si>
  <si>
    <t>Enrique Monsalve &lt;v-monsalvee@ .com&gt;</t>
  </si>
  <si>
    <t>William Pena &lt;v-wpena@ .com&gt;</t>
  </si>
  <si>
    <t>Preguntamos por herramienta de text spacing. Seguimos pendientes para que nos pasen la que usan internamente.
https://powerusers. .com/t5/Building-Power-Apps/NVDA-in-powerapps/m-p/621857#M196702
Después de una reunión con el dos ingenieros de Accessibility, Dipankar y Sudheer. Nos comentaron que si utilizamos la fuente Segoe UI, no deberiamos de tener problema con el tema de text spacing.</t>
  </si>
  <si>
    <t>Esperando guia del Team de Accessibility con la Text Spacing Tool.
https://powerusers. .com/t5/Building-Power-Apps/NVDA-in-powerapps/m-p/621857#M196702
Después de una reunión con el dos ingenieros de Accessibility, Dipankar y Sudheer. Nos comentaron que si utilizamos la fuente Segoe UI, no deberiamos de tener problema con el tema de text spacing.</t>
  </si>
  <si>
    <t>En este bug utilizan la tecla "T" como shorcut para ir directo a la tabla, pero en nuestro caso usamos una Gallery. ¿No aplicaría este error?
Limitación de Powerapps
https://powerusers. .com/t5/Building-Power-Apps/NVDA-in-powerapps/m-p/621857#M196702</t>
  </si>
  <si>
    <t>Comentar en ADO con link de PA limitations.
https://docs. .com/en-us/power-apps/maker/canvas-apps/accessible-apps-limitations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</si>
</sst>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theme="1"/>
      <name val="Calibri"/>
      <family val="2"/>
      <scheme val="minor"/>
    </font>
    <font>
      <b/>
      <sz val="8"/>
      <color theme="0"/>
      <name val="Calibri"/>
      <family val="2"/>
      <scheme val="minor"/>
    </font>
    <font>
      <sz val="11"/>
      <name val="Calibri"/>
      <family val="2"/>
      <scheme val="minor"/>
    </font>
    <font>
      <b/>
      <i/>
      <u/>
      <sz val="11"/>
      <color theme="1"/>
      <name val="Calibri"/>
      <family val="2"/>
      <scheme val="minor"/>
    </font>
    <font>
      <i/>
      <sz val="11"/>
      <color theme="1"/>
      <name val="Calibri"/>
      <family val="2"/>
      <scheme val="minor"/>
    </font>
    <font>
      <b/>
      <sz val="11"/>
      <color rgb="FFFF0000"/>
      <name val="Calibri"/>
      <family val="2"/>
      <scheme val="minor"/>
    </font>
    <font>
      <b/>
      <sz val="11"/>
      <name val="Calibri"/>
      <family val="2"/>
      <scheme val="minor"/>
    </font>
    <font>
      <b/>
      <sz val="8"/>
      <name val="Calibri"/>
      <family val="2"/>
      <scheme val="minor"/>
    </font>
    <font>
      <sz val="11"/>
      <color rgb="FFFF0000"/>
      <name val="Calibri"/>
      <family val="2"/>
      <scheme val="minor"/>
    </font>
    <font>
      <b/>
      <sz val="11"/>
      <color theme="5" tint="-0.249977111117893"/>
      <name val="Calibri"/>
      <family val="2"/>
      <scheme val="minor"/>
    </font>
    <font>
      <b/>
      <u/>
      <sz val="11"/>
      <color rgb="FFFF0000"/>
      <name val="Calibri"/>
      <family val="2"/>
      <scheme val="minor"/>
    </font>
    <font>
      <sz val="8"/>
      <name val="Calibri"/>
      <family val="2"/>
      <scheme val="minor"/>
    </font>
    <font>
      <u/>
      <sz val="11"/>
      <color theme="10"/>
      <name val="Calibri"/>
      <family val="2"/>
      <scheme val="minor"/>
    </font>
    <font>
      <sz val="11"/>
      <name val="Calibri"/>
    </font>
  </fonts>
  <fills count="5">
    <fill>
      <patternFill patternType="none"/>
    </fill>
    <fill>
      <patternFill patternType="gray125"/>
    </fill>
    <fill>
      <patternFill patternType="solid">
        <fgColor rgb="FF7030A0"/>
        <bgColor indexed="64"/>
      </patternFill>
    </fill>
    <fill>
      <patternFill patternType="solid">
        <fgColor rgb="FF002060"/>
        <bgColor indexed="64"/>
      </patternFill>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3" fillId="0" borderId="0" applyNumberFormat="0" applyFill="0" applyBorder="0" applyAlignment="0" applyProtection="0"/>
    <xf numFmtId="0" fontId="14" fillId="0" borderId="0"/>
  </cellStyleXfs>
  <cellXfs count="30">
    <xf numFmtId="0" fontId="0" fillId="0" borderId="0" xfId="0"/>
    <xf numFmtId="0" fontId="0" fillId="0" borderId="1" xfId="0" applyBorder="1"/>
    <xf numFmtId="0" fontId="2" fillId="2" borderId="1" xfId="0" applyFont="1" applyFill="1" applyBorder="1" applyAlignment="1">
      <alignment horizontal="center" vertical="center" wrapText="1"/>
    </xf>
    <xf numFmtId="0" fontId="0" fillId="0" borderId="1" xfId="0" applyBorder="1" applyAlignment="1">
      <alignment horizontal="left" vertical="top" wrapText="1"/>
    </xf>
    <xf numFmtId="0" fontId="0" fillId="0" borderId="1" xfId="0" applyBorder="1" applyAlignment="1">
      <alignment horizontal="center" vertical="center"/>
    </xf>
    <xf numFmtId="0" fontId="3" fillId="0" borderId="0" xfId="0" applyFont="1"/>
    <xf numFmtId="0" fontId="0" fillId="0" borderId="0" xfId="0" pivotButton="1"/>
    <xf numFmtId="0" fontId="0" fillId="0" borderId="0" xfId="0" applyAlignment="1">
      <alignment horizontal="left"/>
    </xf>
    <xf numFmtId="0" fontId="0" fillId="0" borderId="0" xfId="0" applyAlignment="1">
      <alignment horizontal="center"/>
    </xf>
    <xf numFmtId="0" fontId="0" fillId="0" borderId="1" xfId="0" applyBorder="1" applyAlignment="1">
      <alignment horizontal="center" vertical="center" wrapText="1"/>
    </xf>
    <xf numFmtId="0" fontId="7" fillId="0" borderId="1" xfId="0" applyFont="1" applyBorder="1" applyAlignment="1">
      <alignment horizontal="left" vertical="top" wrapText="1"/>
    </xf>
    <xf numFmtId="0" fontId="0" fillId="0" borderId="0" xfId="0" applyAlignment="1">
      <alignment horizontal="left" vertical="top"/>
    </xf>
    <xf numFmtId="0" fontId="3" fillId="0" borderId="1" xfId="0" applyFont="1" applyBorder="1" applyAlignment="1">
      <alignment horizontal="left" vertical="top" wrapText="1"/>
    </xf>
    <xf numFmtId="0" fontId="0" fillId="0" borderId="1" xfId="0" applyBorder="1" applyAlignment="1">
      <alignment horizontal="left" vertical="top"/>
    </xf>
    <xf numFmtId="0" fontId="8" fillId="0" borderId="1" xfId="0" applyFont="1" applyBorder="1" applyAlignment="1">
      <alignment horizontal="center" vertical="center" wrapText="1"/>
    </xf>
    <xf numFmtId="0" fontId="2" fillId="3" borderId="1" xfId="0" applyFont="1" applyFill="1" applyBorder="1" applyAlignment="1">
      <alignment horizontal="center" vertical="center" wrapText="1"/>
    </xf>
    <xf numFmtId="0" fontId="9" fillId="0" borderId="0" xfId="0" applyFont="1"/>
    <xf numFmtId="0" fontId="3" fillId="0" borderId="1" xfId="0" applyFont="1" applyBorder="1" applyAlignment="1">
      <alignment horizontal="center" vertical="center"/>
    </xf>
    <xf numFmtId="0" fontId="13" fillId="0" borderId="1" xfId="1" applyBorder="1" applyAlignment="1">
      <alignment horizontal="left" vertical="center"/>
    </xf>
    <xf numFmtId="0" fontId="13" fillId="0" borderId="0" xfId="1"/>
    <xf numFmtId="0" fontId="13" fillId="0" borderId="1" xfId="1" applyBorder="1"/>
    <xf numFmtId="0" fontId="0" fillId="0" borderId="0" xfId="0" applyAlignment="1">
      <alignment wrapText="1"/>
    </xf>
    <xf numFmtId="0" fontId="13" fillId="0" borderId="1" xfId="1" applyBorder="1" applyAlignment="1">
      <alignment horizontal="center" vertical="center"/>
    </xf>
    <xf numFmtId="49" fontId="0" fillId="0" borderId="1" xfId="0" applyNumberFormat="1" applyBorder="1" applyAlignment="1">
      <alignment horizontal="center"/>
    </xf>
    <xf numFmtId="0" fontId="13" fillId="0" borderId="1" xfId="1" applyBorder="1" applyAlignment="1">
      <alignment horizontal="left" vertical="center" wrapText="1"/>
    </xf>
    <xf numFmtId="0" fontId="0" fillId="0" borderId="1" xfId="0" applyBorder="1" applyAlignment="1">
      <alignment horizontal="left" vertical="center" wrapText="1"/>
    </xf>
    <xf numFmtId="1" fontId="0" fillId="0" borderId="1" xfId="0" applyNumberFormat="1" applyBorder="1" applyAlignment="1">
      <alignment horizontal="center"/>
    </xf>
    <xf numFmtId="0" fontId="9" fillId="0" borderId="0" xfId="0" applyFont="1" applyAlignment="1">
      <alignment wrapText="1"/>
    </xf>
    <xf numFmtId="1" fontId="0" fillId="4" borderId="1" xfId="0" applyNumberFormat="1" applyFill="1" applyBorder="1" applyAlignment="1">
      <alignment horizontal="center"/>
    </xf>
    <xf numFmtId="0" fontId="0" fillId="0" borderId="0" xfId="0" applyFill="1"/>
  </cellXfs>
  <cellStyles count="3">
    <cellStyle name="Hyperlink" xfId="1" builtinId="8"/>
    <cellStyle name="Normal" xfId="0" builtinId="0"/>
    <cellStyle name="Normal 2" xfId="2" xr:uid="{B05D3BFB-0E95-44C1-AB9B-BE445EBCCCEF}"/>
  </cellStyles>
  <dxfs count="27">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1" tint="0.499984740745262"/>
      </font>
      <fill>
        <patternFill>
          <bgColor theme="0" tint="-0.14996795556505021"/>
        </patternFill>
      </fill>
    </dxf>
    <dxf>
      <fill>
        <patternFill>
          <bgColor theme="7" tint="0.39994506668294322"/>
        </patternFill>
      </fill>
    </dxf>
    <dxf>
      <fill>
        <patternFill>
          <bgColor theme="8" tint="0.59996337778862885"/>
        </patternFill>
      </fill>
    </dxf>
    <dxf>
      <fill>
        <patternFill>
          <bgColor theme="9" tint="0.59996337778862885"/>
        </patternFill>
      </fill>
    </dxf>
    <dxf>
      <fill>
        <patternFill>
          <bgColor theme="5" tint="0.39994506668294322"/>
        </patternFill>
      </fill>
    </dxf>
    <dxf>
      <fill>
        <gradientFill degree="90">
          <stop position="0">
            <color theme="0"/>
          </stop>
          <stop position="1">
            <color rgb="FFF51384"/>
          </stop>
        </gradientFill>
      </fill>
    </dxf>
    <dxf>
      <fill>
        <gradientFill degree="90">
          <stop position="0">
            <color theme="0"/>
          </stop>
          <stop position="1">
            <color theme="9" tint="0.59999389629810485"/>
          </stop>
        </gradientFill>
      </fill>
    </dxf>
    <dxf>
      <fill>
        <gradientFill degree="90">
          <stop position="0">
            <color theme="0"/>
          </stop>
          <stop position="1">
            <color theme="7" tint="0.59999389629810485"/>
          </stop>
        </gradientFill>
      </fill>
    </dxf>
    <dxf>
      <fill>
        <gradientFill degree="90">
          <stop position="0">
            <color theme="0"/>
          </stop>
          <stop position="1">
            <color theme="5" tint="0.40000610370189521"/>
          </stop>
        </gradient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1" tint="0.499984740745262"/>
      </font>
      <fill>
        <patternFill>
          <bgColor theme="0" tint="-0.14996795556505021"/>
        </patternFill>
      </fill>
    </dxf>
    <dxf>
      <fill>
        <patternFill>
          <bgColor theme="7" tint="0.39994506668294322"/>
        </patternFill>
      </fill>
    </dxf>
    <dxf>
      <fill>
        <patternFill>
          <bgColor theme="8" tint="0.59996337778862885"/>
        </patternFill>
      </fill>
    </dxf>
    <dxf>
      <fill>
        <patternFill>
          <bgColor theme="9" tint="0.59996337778862885"/>
        </patternFill>
      </fill>
    </dxf>
    <dxf>
      <fill>
        <patternFill>
          <bgColor theme="5" tint="0.39994506668294322"/>
        </patternFill>
      </fill>
    </dxf>
    <dxf>
      <fill>
        <gradientFill degree="90">
          <stop position="0">
            <color theme="0"/>
          </stop>
          <stop position="1">
            <color rgb="FFF51384"/>
          </stop>
        </gradientFill>
      </fill>
    </dxf>
    <dxf>
      <fill>
        <gradientFill degree="90">
          <stop position="0">
            <color theme="0"/>
          </stop>
          <stop position="1">
            <color theme="9" tint="0.59999389629810485"/>
          </stop>
        </gradientFill>
      </fill>
    </dxf>
    <dxf>
      <fill>
        <gradientFill degree="90">
          <stop position="0">
            <color theme="0"/>
          </stop>
          <stop position="1">
            <color theme="7" tint="0.59999389629810485"/>
          </stop>
        </gradientFill>
      </fill>
    </dxf>
    <dxf>
      <fill>
        <gradientFill degree="90">
          <stop position="0">
            <color theme="0"/>
          </stop>
          <stop position="1">
            <color theme="5" tint="0.40000610370189521"/>
          </stop>
        </gradientFill>
      </fill>
    </dxf>
    <dxf>
      <alignment horizontal="center"/>
    </dxf>
    <dxf>
      <alignment horizontal="center"/>
    </dxf>
    <dxf>
      <alignment horizontal="center"/>
    </dxf>
  </dxfs>
  <tableStyles count="0" defaultTableStyle="TableStyleMedium2" defaultPivotStyle="PivotStyleLight16"/>
  <colors>
    <mruColors>
      <color rgb="FFF51384"/>
      <color rgb="FFD53333"/>
      <color rgb="FF66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editAs="oneCell">
    <xdr:from>
      <xdr:col>7</xdr:col>
      <xdr:colOff>2721428</xdr:colOff>
      <xdr:row>17</xdr:row>
      <xdr:rowOff>13607</xdr:rowOff>
    </xdr:from>
    <xdr:to>
      <xdr:col>9</xdr:col>
      <xdr:colOff>312551</xdr:colOff>
      <xdr:row>591</xdr:row>
      <xdr:rowOff>76140</xdr:rowOff>
    </xdr:to>
    <xdr:sp macro="" textlink="">
      <xdr:nvSpPr>
        <xdr:cNvPr id="2076" name="AutoShape 28">
          <a:extLst>
            <a:ext uri="{FF2B5EF4-FFF2-40B4-BE49-F238E27FC236}">
              <a16:creationId xmlns:a16="http://schemas.microsoft.com/office/drawing/2014/main" id="{CFF8BB54-6092-FA93-2884-A3B5049B243A}"/>
            </a:ext>
          </a:extLst>
        </xdr:cNvPr>
        <xdr:cNvSpPr>
          <a:spLocks noChangeAspect="1" noChangeArrowheads="1"/>
        </xdr:cNvSpPr>
      </xdr:nvSpPr>
      <xdr:spPr bwMode="auto">
        <a:xfrm>
          <a:off x="22492607" y="190500"/>
          <a:ext cx="304800" cy="32465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1473653</xdr:colOff>
      <xdr:row>21</xdr:row>
      <xdr:rowOff>9525</xdr:rowOff>
    </xdr:from>
    <xdr:to>
      <xdr:col>9</xdr:col>
      <xdr:colOff>301756</xdr:colOff>
      <xdr:row>679</xdr:row>
      <xdr:rowOff>42690</xdr:rowOff>
    </xdr:to>
    <xdr:sp macro="" textlink="">
      <xdr:nvSpPr>
        <xdr:cNvPr id="2" name="AutoShape 28">
          <a:extLst>
            <a:ext uri="{FF2B5EF4-FFF2-40B4-BE49-F238E27FC236}">
              <a16:creationId xmlns:a16="http://schemas.microsoft.com/office/drawing/2014/main" id="{C282D2AB-6E2D-4FE5-92D9-4481149CED64}"/>
            </a:ext>
          </a:extLst>
        </xdr:cNvPr>
        <xdr:cNvSpPr>
          <a:spLocks noChangeAspect="1" noChangeArrowheads="1"/>
        </xdr:cNvSpPr>
      </xdr:nvSpPr>
      <xdr:spPr bwMode="auto">
        <a:xfrm>
          <a:off x="16580303" y="1571625"/>
          <a:ext cx="338768" cy="12614607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persons/person.xml><?xml version="1.0" encoding="utf-8"?>
<personList xmlns="http://schemas.microsoft.com/office/spreadsheetml/2018/threadedcomments" xmlns:x="http://schemas.openxmlformats.org/spreadsheetml/2006/main">
  <person displayName="William Pena (NEXTANT LLC)" id="{54FA35B9-0CDE-44E5-BFD2-DE98C93FE3DE}" userId="v-wpena@microsoft.com" providerId="PeoplePicker"/>
  <person displayName="Enrique Monsalve (NEXTANT LLC)" id="{6BDA8E13-C587-4F23-8E97-94618C064147}" userId="v-monsalvee@microsoft.com" providerId="PeoplePicker"/>
  <person displayName="William Pena" id="{76B6A67F-4853-42E9-91C2-9E3D318289B6}" userId="S::v-wpena@microsoft.com::58fb510a-4ab9-4c5c-8605-814aa419c17a" providerId="AD"/>
  <person displayName="Enrique Monsalve" id="{961F7BB5-E96A-4478-BAFF-21CF61F6D612}" userId="S::v-monsalvee@microsoft.com::4f94626e-92dd-471a-9c2a-7b44097c9935"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nrique Monsalve (NEXTANT LLC)" refreshedDate="44810.49273125" createdVersion="8" refreshedVersion="8" minRefreshableVersion="3" recordCount="73" xr:uid="{274F2632-4BA2-40A6-AA1F-56A5B34BBB2D}">
  <cacheSource type="worksheet">
    <worksheetSource ref="A1:N74" sheet="Accessibility Bugs 1st Round"/>
  </cacheSource>
  <cacheFields count="15">
    <cacheField name="ID" numFmtId="0">
      <sharedItems containsSemiMixedTypes="0" containsString="0" containsNumber="1" containsInteger="1" minValue="1516891" maxValue="1522094"/>
    </cacheField>
    <cacheField name="Work Item Type" numFmtId="0">
      <sharedItems/>
    </cacheField>
    <cacheField name="Title" numFmtId="0">
      <sharedItems/>
    </cacheField>
    <cacheField name="State" numFmtId="0">
      <sharedItems containsBlank="1"/>
    </cacheField>
    <cacheField name="Assigned To" numFmtId="0">
      <sharedItems containsBlank="1"/>
    </cacheField>
    <cacheField name="Aprobado por Accessibility" numFmtId="0">
      <sharedItems containsBlank="1"/>
    </cacheField>
    <cacheField name="Responsable" numFmtId="0">
      <sharedItems containsBlank="1"/>
    </cacheField>
    <cacheField name="Status (Completado/En progreso/ No comenzado)" numFmtId="0">
      <sharedItems/>
    </cacheField>
    <cacheField name="Tags" numFmtId="0">
      <sharedItems containsBlank="1"/>
    </cacheField>
    <cacheField name="Comentarios" numFmtId="0">
      <sharedItems containsBlank="1" longText="1"/>
    </cacheField>
    <cacheField name="Severity" numFmtId="0">
      <sharedItems count="3">
        <s v="2 - High"/>
        <s v="3 - Medium"/>
        <s v="4 - Low"/>
      </sharedItems>
    </cacheField>
    <cacheField name="Repro Steps" numFmtId="0">
      <sharedItems containsBlank="1" longText="1"/>
    </cacheField>
    <cacheField name="ADO Synced" numFmtId="0">
      <sharedItems/>
    </cacheField>
    <cacheField name="ADO State" numFmtId="0">
      <sharedItems containsBlank="1" count="6">
        <s v="Resolved"/>
        <s v="Closed"/>
        <s v="New"/>
        <s v="Pending w/ dependency"/>
        <s v="Reactivated"/>
        <m u="1"/>
      </sharedItems>
    </cacheField>
    <cacheField name="ADO Assigned to"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3">
  <r>
    <n v="1516891"/>
    <s v="Bug"/>
    <s v="[Screen Readers - OLP Power Apps - Landing page]: Heading structure is not correctly defined on the page."/>
    <s v="New"/>
    <s v="Enrique Monsalve &lt;v-monsalvee@microsoft.com&gt;"/>
    <s v="No revisado"/>
    <s v="William"/>
    <s v="Completado"/>
    <m/>
    <s v="El deployment pasado no migró la aplicación con los bugs resueltos."/>
    <x v="0"/>
    <s v="&lt;div style=&quot;box-sizing:border-box;&quot;&gt;&lt;b&gt;&lt;/b&gt; &lt;/div&gt;&lt;div style=&quot;box-sizing:border-box;font-weight:400;&quot;&gt;&lt;b style=&quot;box-sizing:border-box;&quot;&gt;PWD Impact: -&lt;/b&gt;&lt;br style=&quot;box-sizing:border-box;&quot;&gt; &lt;/div&gt;&lt;div style=&quot;box-sizing:border-box;font-weight:400;&quot;&gt;&lt;span style=&quot;box-sizing:border-box;display:inline !important;&quot;&gt;&lt;span style=&quot;box-sizing:border-box;font-family:&amp;quot;Segoe UI&amp;quot;, sans-serif;display:inline !important;&quot;&gt;&lt;span style=&quot;box-sizing:border-box;display:inline !important;&quot;&gt;Screen reader users will find it difficult to navigate through the page without knowing about the headings. This will create confusion as the purpose of the page or text is not understandable if&amp;nbsp;Headings structure&amp;nbsp;is not correctly&amp;nbsp;defined in the page properly while navigating using heading shortcut key 'H' or down arrow key.&lt;/span&gt;&lt;/span&gt;&lt;/span&gt; &lt;/div&gt;&lt;div style=&quot;box-sizing:border-box;font-weight:400;&quot;&gt;&lt;br style=&quot;box-sizing:border-box;&quot;&gt; &lt;/div&gt;&lt;div style=&quot;box-sizing:border-box;font-weight:400;&quot;&gt;&lt;div style=&quot;box-sizing:border-box;&quot;&gt; &lt;/div&gt;&lt;div style=&quot;box-sizing:border-box;&quot;&gt;&lt;b style=&quot;box-sizing:border-box;font-family:&amp;quot;Segoe UI&amp;quot;, sans-serif;&quot;&gt;Test Environment:&lt;/b&gt;&lt;br style=&quot;box-sizing:border-box;&quot;&gt; &lt;/div&gt;&lt;div style=&quot;box-sizing:border-box;&quot;&gt; &lt;/div&gt; &lt;/div&gt;&lt;div style=&quot;box-sizing:border-box;font-weight:400;&quot;&gt; &lt;/div&gt;&lt;div style=&quot;box-sizing:border-box;font-weight:400;&quot;&gt; &lt;/div&gt;&lt;div style=&quot;box-sizing:border-box;font-weight:400;&quot;&gt; &lt;/div&gt;&lt;div style=&quot;box-sizing:border-box;font-weight:400;&quot;&gt; &lt;/div&gt;&lt;p style=&quot;box-sizing:border-box;font-weight:400;margin:0in;&quot;&gt; &lt;/p&gt;&lt;span style=&quot;box-sizing:border-box;font-weight:400;&quot;&gt;&lt;/span&gt;&lt;span style=&quot;box-sizing:border-box;font-weight:400;&quot;&gt;&lt;/span&gt;&lt;span style=&quot;box-sizing:border-box;font-weight:400;&quot;&gt;OS: Windows 11 [Version 21H2 (OS Build 22000.675)]&lt;br style=&quot;box-sizing:border-box;&quot;&gt;&lt;/span&gt;&lt;div style=&quot;box-sizing:border-box;font-weight:400;&quot;&gt;Browser: Edge Chromium (102.0.1245.30), Chrome (102.0.5005.63)&lt;br style=&quot;box-sizing:border-box;&quot;&gt; &lt;/div&gt;&lt;div style=&quot;box-sizing:border-box;font-weight:400;&quot;&gt;Screen readers: NVDA (2022.1), JAWS (2022.2204.20) &lt;/div&gt;&lt;div style=&quot;box-sizing:border-box;font-weight:400;&quot;&gt;&lt;span style=&quot;box-sizing:border-box;&quot;&gt;URL:&amp;nbsp;&lt;a href=&quot;https://apps.powerapps.com/play/e/aa1775d6-89ae-47fb-b2cd-ebeb56163da6/a/4aed3aec-208a-470a-aab6-c1a9d278d52a?tenantId=72f988bf-86f1-41af-91ab-2d7cd011db47&amp;amp;source=portal&amp;amp;skipAppMetadata=true#&quot; style=&quot;box-sizing:border-box;text-decoration:underline;cursor:pointer;&quot;&gt;Onboarding App - Landing Page - Power Apps&lt;/a&gt;&lt;/span&gt;&lt;br style=&quot;box-sizing:border-box;&quot;&gt; &lt;/div&gt;&lt;span style=&quot;box-sizing:border-box;font-weight:400;&quot;&gt;&lt;/span&gt;&lt;div style=&quot;box-sizing:border-box;font-weight:400;&quot;&gt; &lt;/div&gt;&lt;div style=&quot;box-sizing:border-box;font-weight:400;&quot;&gt; &lt;/div&gt;&lt;div style=&quot;box-sizing:border-box;font-weight:400;&quot;&gt;&lt;br style=&quot;box-sizing:border-box;&quot;&gt; &lt;/div&gt;&lt;div style=&quot;box-sizing:border-box;font-weight:400;&quot;&gt;&lt;span style=&quot;box-sizing:border-box;&quot;&gt;&lt;b style=&quot;box-sizing:border-box;&quot;&gt;Prerequisite:&lt;/b&gt;&lt;/span&gt; &lt;/div&gt;&lt;div style=&quot;box-sizing:border-box;font-weight:400;&quot;&gt;&lt;span style=&quot;box-sizing:border-box;&quot;&gt;Turn on NVDA/JAWS. Enable browse mode using 'insert+space'/'insert+Z' key.&lt;/span&gt;&lt;span style=&quot;box-sizing:border-box;&quot;&gt;&lt;b style=&quot;box-sizing:border-box;&quot;&gt;&lt;br style=&quot;box-sizing:border-box;&quot;&gt;&lt;/b&gt;&lt;/span&gt; &lt;/div&gt;&lt;div style=&quot;box-sizing:border-box;font-weight:400;&quot;&gt;&lt;span style=&quot;box-sizing:border-box;&quot;&gt;&lt;br style=&quot;box-sizing:border-box;&quot;&gt;&lt;/span&gt; &lt;/div&gt;&lt;div style=&quot;box-sizing:border-box;font-weight:400;&quot;&gt;&lt;p style=&quot;box-sizing:border-box;margin:0in;&quot;&gt;&lt;b style=&quot;box-sizing:border-box;&quot;&gt;Repro Steps:&lt;/b&gt;&lt;br style=&quot;box-sizing:border-box;&quot;&gt; &lt;/p&gt; &lt;/div&gt;&lt;div style=&quot;box-sizing:border-box;font-weight:400;&quot;&gt;&lt;div style=&quot;box-sizing:border-box;&quot;&gt;&lt;div style=&quot;box-sizing:border-box;&quot;&gt;&lt;div style=&quot;box-sizing:border-box;&quot;&gt;&lt;span style=&quot;box-sizing:border-box;&quot;&gt;&lt;div style=&quot;box-sizing:border-box;&quot;&gt; &lt;/div&gt;&lt;div style=&quot;box-sizing:border-box;&quot;&gt; &lt;/div&gt;&lt;div style=&quot;box-sizing:border-box;&quot;&gt; &lt;/div&gt;&lt;div style=&quot;box-sizing:border-box;&quot;&gt;Step 1:&lt;span style=&quot;box-sizing:border-box;&quot;&gt;&amp;nbsp;&lt;/span&gt;&lt;span style=&quot;box-sizing:border-box;color:rgb(36, 36, 36);font-family:-apple-system, BlinkMacSystemFont, &amp;quot;Segoe UI&amp;quot;, &amp;quot;Apple Color Emoji&amp;quot;, &amp;quot;Segoe UI Emoji&amp;quot;, &amp;quot;Segoe UI Web&amp;quot;, sans-serif;display:inline !important;&quot;&gt;Open the above URL in Edge Chromium Browser or chrome browser.&lt;/span&gt;&lt;span style=&quot;box-sizing:border-box;display:inline !important;&quot;&gt;&lt;/span&gt; &lt;/div&gt;&lt;/span&gt; &lt;/div&gt; &lt;/div&gt; &lt;/div&gt; &lt;/div&gt;&lt;div style=&quot;box-sizing:border-box;font-weight:400;&quot;&gt;Step 2: 'Onboarding App - Landing Page - Power Apps' page will appear.&amp;nbsp; &lt;/div&gt;&lt;div style=&quot;box-sizing:border-box;font-weight:400;&quot;&gt;&lt;div style=&quot;box-sizing:border-box;&quot;&gt;&lt;div style=&quot;box-sizing:border-box;&quot;&gt;&lt;div style=&quot;box-sizing:border-box;&quot;&gt;&lt;span style=&quot;box-sizing:border-box;&quot;&gt;&lt;div style=&quot;box-sizing:border-box;&quot;&gt;Step 3: Navigate on the page using short cut key 'H' or down arrow key. &lt;/div&gt;&lt;div style=&quot;box-sizing:border-box;&quot;&gt;&lt;span style=&quot;box-sizing:border-box;&quot;&gt;&lt;span style=&quot;box-sizing:border-box;&quot;&gt;Step 4:&lt;span style=&quot;box-sizing:border-box;&quot;&gt;&amp;nbsp;Verify whether &lt;/span&gt;&lt;/span&gt;Heading structure is correctly defined on the page&amp;nbsp;while navigating using heading shortcut key 'H' or down arrow key&amp;nbsp;or not.&lt;br style=&quot;box-sizing:border-box;&quot;&gt;&lt;/span&gt; &lt;/div&gt;&lt;div style=&quot;box-sizing:border-box;&quot;&gt;&lt;span style=&quot;box-sizing:border-box;&quot;&gt;&lt;/span&gt; &lt;/div&gt;&lt;div style=&quot;box-sizing:border-box;&quot;&gt;&lt;span style=&quot;box-sizing:border-box;&quot;&gt;&lt;/span&gt; &lt;/div&gt;&lt;div style=&quot;box-sizing:border-box;&quot;&gt;&lt;span style=&quot;box-sizing:border-box;&quot;&gt;&lt;span style=&quot;box-sizing:border-box;font-family:Calibri, sans-serif;font-size:14.6667px;display:inline !important;&quot;&gt;&lt;span style=&quot;box-sizing:border-box;font-size:14px;display:inline !important;&quot;&gt;&lt;br style=&quot;box-sizing:border-box;&quot;&gt;&lt;/span&gt;&lt;/span&gt;&lt;/span&gt; &lt;/div&gt;&lt;/span&gt; &lt;/div&gt; &lt;/div&gt; &lt;/div&gt; &lt;/div&gt;&lt;div style=&quot;box-sizing:border-box;font-weight:400;&quot;&gt;&lt;div style=&quot;box-sizing:border-box;&quot;&gt;&lt;div style=&quot;box-sizing:border-box;&quot;&gt;&lt;b style=&quot;box-sizing:border-box;&quot;&gt;&lt;/b&gt; &lt;/div&gt; &lt;/div&gt; &lt;/div&gt;&lt;div style=&quot;box-sizing:border-box;font-weight:400;&quot;&gt;&lt;div style=&quot;box-sizing:border-box;&quot;&gt;&lt;div style=&quot;box-sizing:border-box;&quot;&gt;&lt;b style=&quot;box-sizing:border-box;&quot;&gt;Actual Result:&lt;/b&gt;&lt;br style=&quot;box-sizing:border-box;&quot;&gt; &lt;/div&gt; &lt;/div&gt; &lt;/div&gt;&lt;div style=&quot;box-sizing:border-box;font-weight:400;&quot;&gt; &lt;/div&gt;&lt;div style=&quot;box-sizing:border-box;font-weight:400;&quot;&gt;&lt;b style=&quot;box-sizing:border-box;&quot;&gt;&lt;span style=&quot;box-sizing:border-box;display:inline !important;&quot;&gt;&lt;/span&gt;&lt;/b&gt; &lt;/div&gt;&lt;div style=&quot;box-sizing:border-box;font-weight:400;&quot;&gt; &lt;/div&gt;&lt;div style=&quot;box-sizing:border-box;&quot;&gt;&lt;div style=&quot;font-weight:400;box-sizing:border-box;&quot;&gt;Heading structure is not correctly defined on the page. &lt;/div&gt;&lt;div style=&quot;box-sizing:border-box;&quot;&gt;&lt;b&gt;Observation:&lt;/b&gt; &lt;/div&gt;&lt;div style=&quot;box-sizing:border-box;&quot;&gt;&lt;span&gt;&lt;b&gt;&lt;/b&gt;&lt;/span&gt; &lt;/div&gt; &lt;/div&gt;&lt;div style=&quot;box-sizing:border-box;font-weight:400;&quot;&gt;&lt;ol style=&quot;box-sizing:border-box;padding-left:40px;&quot;&gt;&lt;li&gt;&lt;span&gt;'You're all set for your Onboarding App onboarding experience!' is defined in heading with incorrect level as 5.&lt;/span&gt; &lt;/li&gt;&lt;li style=&quot;box-sizing:border-box;&quot;&gt;'Hi Lakshmidevi jaddu,&amp;nbsp;&lt;span style=&quot;box-sizing:border-box;&quot;&gt;Start your journey with&amp;nbsp;&lt;/span&gt;&lt;span style=&quot;box-sizing:border-box;&quot;&gt;Onboarding App' text is not defined in heading.&lt;/span&gt; &lt;/li&gt; &lt;/ol&gt; &lt;/div&gt;&lt;div style=&quot;box-sizing:border-box;font-weight:400;&quot;&gt;&lt;br style=&quot;box-sizing:border-box;&quot;&gt; &lt;/div&gt;&lt;div style=&quot;box-sizing:border-box;font-weight:400;&quot;&gt;&lt;div style=&quot;box-sizing:border-box;&quot;&gt; &lt;/div&gt;&lt;div style=&quot;box-sizing:border-box;&quot;&gt;&lt;b style=&quot;box-sizing:border-box;&quot;&gt;Expected Result:&lt;br style=&quot;box-sizing:border-box;&quot;&gt;&lt;/b&gt;&lt;div style=&quot;box-sizing:border-box;&quot;&gt;&lt;div style=&quot;box-sizing:border-box;&quot;&gt;Heading structure should be correctly defined on the page. &lt;/div&gt; &lt;/div&gt;&lt;div style=&quot;box-sizing:border-box;&quot;&gt;&lt;ol style=&quot;box-sizing:border-box;padding-left:40px;&quot;&gt;&lt;li style=&quot;box-sizing:border-box;&quot;&gt;'You're all set for your Onboarding App onboarding experience!' should be defined in H2. &lt;/li&gt;&lt;li style=&quot;box-sizing:border-box;&quot;&gt;'Hi &lt;span style=&quot;display:inline !important;&quot;&gt;Lakshmidevi jaddu&lt;/span&gt;,&amp;nbsp;&lt;span style=&quot;box-sizing:border-box;&quot;&gt;Start your journey with&amp;nbsp;&lt;/span&gt;&lt;span style=&quot;box-sizing:border-box;&quot;&gt;Onboarding App' text should be defined in H1&lt;/span&gt; &lt;/li&gt; &lt;/ol&gt; &lt;/div&gt; &lt;/div&gt; &lt;/div&gt;&lt;div style=&quot;box-sizing:border-box;font-weight:400;&quot;&gt;&lt;div style=&quot;box-sizing:border-box;&quot;&gt;&lt;div style=&quot;box-sizing:border-box;&quot;&gt;&lt;div style=&quot;box-sizing:border-box;&quot;&gt;&lt;span style=&quot;box-sizing:border-box;font-weight:bold;&quot;&gt;&lt;div style=&quot;box-sizing:border-box;font-weight:400;&quot;&gt;&lt;div style=&quot;box-sizing:border-box;&quot;&gt;&lt;b style=&quot;box-sizing:border-box;&quot;&gt;MAS Reference Link:&lt;/b&gt; &lt;/div&gt;&lt;div style=&quot;box-sizing:border-box;&quot;&gt;&lt;a href=&quot;https://microsoft.sharepoint.com/teams/msenable/_layouts/15/WopiFrame.aspx?sourcedoc=%7b54f28d1f-a2d1-4dcd-84e1-5c9b87e8aba4%7d&quot; style=&quot;box-sizing:border-box;text-decoration:underline;cursor:pointer;&quot;&gt;MAS 1.3.1 - Info and Relationships&lt;/a&gt; &lt;/div&gt;&lt;div style=&quot;box-sizing:border-box;&quot;&gt;&amp;nbsp; &lt;/div&gt;&lt;div style=&quot;box-sizing:border-box;&quot;&gt;&lt;b style=&quot;box-sizing:border-box;&quot;&gt;WCAG Reference Link:&lt;/b&gt; &lt;/div&gt;&lt;div style=&quot;box-sizing:border-box;&quot;&gt;&lt;a href=&quot;https://www.w3.org/WAI/WCAG21/Understanding/info-and-relationships.html&quot; style=&quot;box-sizing:border-box;text-decoration:underline;cursor:pointer;&quot;&gt;https://www.w3.org/WAI/WCAG21/Understanding/info-and-relationships.html&lt;/a&gt; &lt;/div&gt; &lt;/div&gt;&lt;/span&gt; &lt;/div&gt; &lt;/div&gt; &lt;/div&gt; &lt;/div&gt;"/>
    <s v="Si"/>
    <x v="0"/>
    <s v="William Pena "/>
  </r>
  <r>
    <n v="1516910"/>
    <s v="Bug"/>
    <s v="[Visual Requirement - OLP Power Apps - Landing page]: Luminosity contrast ratio for the focus indicator on the 'Let's start' button is less than 3:1."/>
    <s v="New"/>
    <s v="Enrique Monsalve &lt;v-monsalvee@microsoft.com&gt;"/>
    <s v="No revisado"/>
    <s v="Mauricio"/>
    <s v="Completado"/>
    <s v="A11y-1STPARTY; A11yMAS; A11yMASP3; CommonBrowsers; HCL; HCL_OLP - MayJune FY22 New Update; MAS 1.4.11; NewBaselineAssessment; RecID_8303"/>
    <s v="El deployment pasado no migró la aplicación con los bugs resueltos."/>
    <x v="1"/>
    <s v="&lt;div style=&quot;box-sizing:border-box;&quot;&gt;&lt;b&gt;&lt;/b&gt; &lt;/div&gt;&lt;div style=&quot;box-sizing:border-box;font-weight:400;&quot;&gt;&lt;b style=&quot;box-sizing:border-box;&quot;&gt;PWD Impact: -&lt;/b&gt;&lt;br style=&quot;box-sizing:border-box;&quot;&gt; &lt;/div&gt;&lt;div style=&quot;box-sizing:border-box;font-weight:400;&quot;&gt;&lt;span style=&quot;box-sizing:border-box;display:inline !important;&quot;&gt;&lt;span style=&quot;box-sizing:border-box;font-family:&amp;quot;Segoe UI&amp;quot;, sans-serif;display:inline !important;&quot;&gt;&lt;span style=&quot;box-sizing:border-box;display:inline !important;&quot;&gt;&lt;div style=&quot;box-sizing:border-box;&quot;&gt;&lt;span style=&quot;box-sizing:border-box;font-family:&amp;quot;Segoe UI&amp;quot;, sans-serif;display:inline !important;&quot;&gt;&lt;span style=&quot;box-sizing:border-box;display:inline !important;&quot;&gt;Most people find it easier to see the elements when it has a sufficiently high contrast against its background. People with visual disabilities, low vision, limited color perception, or&amp;nbsp;&lt;/span&gt;&lt;a href=&quot;https://en.wikipedia.org/wiki/Presbyopia&quot; style=&quot;box-sizing:border-box;text-decoration:underline;cursor:pointer;&quot;&gt;presbyopia&lt;/a&gt;&lt;span style=&quot;box-sizing:border-box;display:inline !important;&quot;&gt;&amp;nbsp;are likely to find elements when contrast is too low.&lt;/span&gt;&lt;/span&gt; &lt;/div&gt;&lt;/span&gt;&lt;/span&gt;&lt;/span&gt; &lt;/div&gt;&lt;div style=&quot;box-sizing:border-box;font-weight:400;&quot;&gt;&lt;br style=&quot;box-sizing:border-box;&quot;&gt; &lt;/div&gt;&lt;div style=&quot;box-sizing:border-box;font-weight:400;&quot;&gt;&lt;div style=&quot;box-sizing:border-box;&quot;&gt; &lt;/div&gt;&lt;div style=&quot;box-sizing:border-box;&quot;&gt;&lt;b style=&quot;box-sizing:border-box;font-family:&amp;quot;Segoe UI&amp;quot;, sans-serif;&quot;&gt;Test Environment:&lt;/b&gt;&lt;br style=&quot;box-sizing:border-box;&quot;&gt; &lt;/div&gt;&lt;div style=&quot;box-sizing:border-box;&quot;&gt; &lt;/div&gt; &lt;/div&gt;&lt;div style=&quot;box-sizing:border-box;font-weight:400;&quot;&gt; &lt;/div&gt;&lt;div style=&quot;box-sizing:border-box;font-weight:400;&quot;&gt; &lt;/div&gt;&lt;div style=&quot;box-sizing:border-box;font-weight:400;&quot;&gt; &lt;/div&gt;&lt;div style=&quot;box-sizing:border-box;font-weight:400;&quot;&gt; &lt;/div&gt;&lt;p style=&quot;box-sizing:border-box;font-weight:400;margin:0in;&quot;&gt; &lt;/p&gt;&lt;span style=&quot;box-sizing:border-box;font-weight:400;&quot;&gt;&lt;/span&gt;&lt;span style=&quot;box-sizing:border-box;font-weight:400;&quot;&gt;&lt;/span&gt;&lt;span style=&quot;box-sizing:border-box;font-weight:400;&quot;&gt;OS: Windows 11 [Version 21H2 (OS Build 22000.675)]&lt;br style=&quot;box-sizing:border-box;&quot;&gt;&lt;/span&gt;&lt;div style=&quot;box-sizing:border-box;font-weight:400;&quot;&gt;Browser: Edge Chromium (102.0.1245.30), Chrome (102.0.5005.63) &lt;/div&gt;&lt;div style=&quot;box-sizing:border-box;font-weight:400;&quot;&gt;&lt;span style=&quot;box-sizing:border-box;&quot;&gt;URL:&amp;nbsp;&lt;a href=&quot;https://apps.powerapps.com/play/e/aa1775d6-89ae-47fb-b2cd-ebeb56163da6/a/4aed3aec-208a-470a-aab6-c1a9d278d52a?tenantId=72f988bf-86f1-41af-91ab-2d7cd011db47&amp;amp;source=portal&amp;amp;skipAppMetadata=true#&quot; style=&quot;box-sizing:border-box;text-decoration:underline;cursor:pointer;&quot;&gt;Onboarding App - Landing Page - Power Apps&lt;/a&gt;&lt;/span&gt;&lt;br style=&quot;box-sizing:border-box;&quot;&gt; &lt;/div&gt;&lt;span style=&quot;box-sizing:border-box;font-weight:400;&quot;&gt;&lt;/span&gt;&lt;div style=&quot;box-sizing:border-box;font-weight:400;&quot;&gt; &lt;/div&gt;&lt;div style=&quot;box-sizing:border-box;font-weight:400;&quot;&gt; &lt;/div&gt;&lt;div style=&quot;box-sizing:border-box;font-weight:400;&quot;&gt;&lt;br&gt; &lt;/div&gt;&lt;div style=&quot;box-sizing:border-box;font-weight:400;&quot;&gt;&lt;p style=&quot;box-sizing:border-box;margin:0in;&quot;&gt;&lt;b style=&quot;box-sizing:border-box;&quot;&gt;Repro Steps:&lt;/b&gt;&lt;br style=&quot;box-sizing:border-box;&quot;&gt; &lt;/p&gt; &lt;/div&gt;&lt;div style=&quot;box-sizing:border-box;font-weight:400;&quot;&gt;&lt;div style=&quot;box-sizing:border-box;&quot;&gt;&lt;div style=&quot;box-sizing:border-box;&quot;&gt;&lt;div style=&quot;box-sizing:border-box;&quot;&gt;&lt;span style=&quot;box-sizing:border-box;&quot;&gt;&lt;div style=&quot;box-sizing:border-box;&quot;&gt; &lt;/div&gt;&lt;div style=&quot;box-sizing:border-box;&quot;&gt; &lt;/div&gt;&lt;div style=&quot;box-sizing:border-box;&quot;&gt; &lt;/div&gt;&lt;div style=&quot;box-sizing:border-box;&quot;&gt;Step 1:&lt;span style=&quot;box-sizing:border-box;&quot;&gt;&amp;nbsp;&lt;/span&gt;&lt;span style=&quot;box-sizing:border-box;color:rgb(36, 36, 36);font-family:-apple-system, BlinkMacSystemFont, &amp;quot;Segoe UI&amp;quot;, &amp;quot;Apple Color Emoji&amp;quot;, &amp;quot;Segoe UI Emoji&amp;quot;, &amp;quot;Segoe UI Web&amp;quot;, sans-serif;display:inline !important;&quot;&gt;Open the above URL in Edge Chromium Browser or chrome browser.&lt;/span&gt;&lt;span style=&quot;box-sizing:border-box;display:inline !important;&quot;&gt;&lt;/span&gt; &lt;/div&gt;&lt;/span&gt; &lt;/div&gt; &lt;/div&gt; &lt;/div&gt; &lt;/div&gt;&lt;div style=&quot;box-sizing:border-box;font-weight:400;&quot;&gt;Step 2: 'Onboarding App - Landing Page - Power Apps' page will appear. &amp;gt; Navigate on the page. &lt;/div&gt;&lt;div style=&quot;box-sizing:border-box;font-weight:400;&quot;&gt;&lt;div style=&quot;box-sizing:border-box;&quot;&gt;&lt;div style=&quot;box-sizing:border-box;&quot;&gt;&lt;div style=&quot;box-sizing:border-box;&quot;&gt;&lt;span style=&quot;box-sizing:border-box;&quot;&gt;&lt;div style=&quot;box-sizing:border-box;&quot;&gt;Step 3:&lt;span style=&quot;&quot;&gt;&amp;nbsp;Observe that&amp;nbsp;Luminosity contrast ratio for the focus indicator on the 'Let's start' button is less than 3:1.&lt;/span&gt; &lt;/div&gt;&lt;div style=&quot;box-sizing:border-box;&quot;&gt;&lt;span style=&quot;box-sizing:border-box;&quot;&gt;&lt;/span&gt; &lt;/div&gt;&lt;div style=&quot;box-sizing:border-box;&quot;&gt;&lt;span style=&quot;box-sizing:border-box;&quot;&gt;&lt;/span&gt; &lt;/div&gt;&lt;div style=&quot;box-sizing:border-box;&quot;&gt;&lt;span style=&quot;box-sizing:border-box;&quot;&gt;&lt;span style=&quot;box-sizing:border-box;font-family:Calibri, sans-serif;font-size:14.6667px;display:inline !important;&quot;&gt;&lt;span style=&quot;box-sizing:border-box;font-size:14px;display:inline !important;&quot;&gt;&lt;br style=&quot;box-sizing:border-box;&quot;&gt;&lt;/span&gt;&lt;/span&gt;&lt;/span&gt; &lt;/div&gt;&lt;/span&gt; &lt;/div&gt; &lt;/div&gt; &lt;/div&gt; &lt;/div&gt;&lt;div style=&quot;box-sizing:border-box;font-weight:400;&quot;&gt;&lt;div style=&quot;box-sizing:border-box;&quot;&gt;&lt;div style=&quot;box-sizing:border-box;&quot;&gt;&lt;b style=&quot;box-sizing:border-box;&quot;&gt;&lt;/b&gt; &lt;/div&gt; &lt;/div&gt; &lt;/div&gt;&lt;div style=&quot;box-sizing:border-box;font-weight:400;&quot;&gt;&lt;div style=&quot;box-sizing:border-box;&quot;&gt;&lt;div style=&quot;box-sizing:border-box;&quot;&gt;&lt;b style=&quot;box-sizing:border-box;&quot;&gt;Actual Result:&lt;/b&gt;&lt;br style=&quot;box-sizing:border-box;&quot;&gt; &lt;/div&gt; &lt;/div&gt; &lt;/div&gt;&lt;div style=&quot;box-sizing:border-box;font-weight:400;&quot;&gt; &lt;/div&gt;&lt;div style=&quot;box-sizing:border-box;font-weight:400;&quot;&gt;&lt;b style=&quot;box-sizing:border-box;&quot;&gt;&lt;span style=&quot;box-sizing:border-box;display:inline !important;&quot;&gt;&lt;/span&gt;&lt;/b&gt; &lt;/div&gt;&lt;div style=&quot;box-sizing:border-box;font-weight:400;&quot;&gt; &lt;/div&gt;&lt;div style=&quot;box-sizing:border-box;font-weight:400;&quot;&gt;&lt;div style=&quot;box-sizing:border-box;&quot;&gt;Luminosity contrast ratio for the focus indicator on the 'Let's start' button (1.9) is less than 3:1.&lt;br&gt; &lt;/div&gt; &lt;/div&gt;&lt;div style=&quot;box-sizing:border-box;font-weight:400;&quot;&gt;&lt;br style=&quot;box-sizing:border-box;&quot;&gt; &lt;/div&gt;&lt;div style=&quot;box-sizing:border-box;&quot;&gt;&lt;div style=&quot;font-weight:400;box-sizing:border-box;&quot;&gt; &lt;/div&gt;&lt;div style=&quot;box-sizing:border-box;&quot;&gt;&lt;b style=&quot;box-sizing:border-box;&quot;&gt;Expected Result:&lt;br style=&quot;box-sizing:border-box;&quot;&gt;&lt;/b&gt;&lt;div style=&quot;font-weight:400;box-sizing:border-box;&quot;&gt;&lt;div style=&quot;box-sizing:border-box;&quot;&gt; &lt;/div&gt; &lt;/div&gt;Luminosity contrast ratio for the focus indicator on the 'Let's start' button&amp;nbsp;&lt;span style=&quot;&quot;&gt;should be equal to or greater than minimum contrast ratio 3:1.&lt;/span&gt; &lt;/div&gt; &lt;/div&gt;&lt;div style=&quot;box-sizing:border-box;&quot;&gt;&lt;span style=&quot;box-sizing:border-box;&quot;&gt;&lt;/span&gt; &lt;/div&gt;&lt;div style=&quot;box-sizing:border-box;&quot;&gt;&lt;br style=&quot;box-sizing:border-box;&quot;&gt; &lt;/div&gt;&lt;div style=&quot;box-sizing:border-box;&quot;&gt; &lt;/div&gt;&lt;div style=&quot;box-sizing:border-box;&quot;&gt; &lt;/div&gt;&lt;div style=&quot;box-sizing:border-box;&quot;&gt; &lt;/div&gt;&lt;div style=&quot;box-sizing:border-box;&quot;&gt; &lt;/div&gt;&lt;div style=&quot;box-sizing:border-box;&quot;&gt; &lt;/div&gt;&lt;div style=&quot;box-sizing:border-box;&quot;&gt; &lt;/div&gt;&lt;div style=&quot;box-sizing:border-box;&quot;&gt; &lt;/div&gt;&lt;div style=&quot;box-sizing:border-box;&quot;&gt; &lt;/div&gt;&lt;div style=&quot;box-sizing:border-box;&quot;&gt; &lt;/div&gt;&lt;div style=&quot;box-sizing:border-box;&quot;&gt; &lt;/div&gt;&lt;div style=&quot;box-sizing:border-box;&quot;&gt;&lt;b style=&quot;box-sizing:border-box;&quot;&gt;&lt;/b&gt; &lt;/div&gt;&lt;div style=&quot;box-sizing:border-box;font-family:&amp;quot;Segoe UI&amp;quot;, system-ui, &amp;quot;Apple Color Emoji&amp;quot;, &amp;quot;Segoe UI Emoji&amp;quot;, sans-serif;&quot;&gt;&lt;div style=&quot;box-sizing:border-box;&quot;&gt;&lt;b style=&quot;box-sizing:border-box;&quot;&gt;&lt;/b&gt; &lt;/div&gt; &lt;/div&gt;&lt;div style=&quot;box-sizing:border-box;font-family:&amp;quot;Segoe UI&amp;quot;, system-ui, &amp;quot;Apple Color Emoji&amp;quot;, &amp;quot;Segoe UI Emoji&amp;quot;, sans-serif;&quot;&gt;&lt;b style=&quot;box-sizing:border-box;&quot;&gt;&lt;/b&gt; &lt;/div&gt;&lt;div style=&quot;box-sizing:border-box;font-family:&amp;quot;Segoe UI&amp;quot;, system-ui, &amp;quot;Apple Color Emoji&amp;quot;, &amp;quot;Segoe UI Emoji&amp;quot;, sans-serif;&quot;&gt;&lt;b style=&quot;box-sizing:border-box;&quot;&gt;&lt;/b&gt; &lt;/div&gt;&lt;div style=&quot;box-sizing:border-box;&quot;&gt;&lt;b style=&quot;box-sizing:border-box;font-family:&amp;quot;Segoe UI&amp;quot;, sans-serif;&quot;&gt;&lt;/b&gt; &lt;/div&gt;&lt;p style=&quot;box-sizing:border-box;font-family:&amp;quot;Segoe UI&amp;quot;, system-ui, &amp;quot;Apple Color Emoji&amp;quot;, &amp;quot;Segoe UI Emoji&amp;quot;, sans-serif;margin:0in;&quot;&gt;&lt;span style=&quot;box-sizing:border-box;font-weight:bold;&quot;&gt;&lt;/span&gt; &lt;/p&gt;&lt;div style=&quot;box-sizing:border-box;margin:0px 0in;&quot;&gt;&lt;b style=&quot;box-sizing:border-box;&quot;&gt;&lt;/b&gt; &lt;/div&gt;&lt;p style=&quot;box-sizing:border-box;font-family:&amp;quot;Segoe UI&amp;quot;, system-ui, &amp;quot;Apple Color Emoji&amp;quot;, &amp;quot;Segoe UI Emoji&amp;quot;, sans-serif;margin:0in;&quot;&gt;&lt;span style=&quot;box-sizing:border-box;font-weight:bold;&quot;&gt;&lt;/span&gt; &lt;/p&gt;&lt;div style=&quot;box-sizing:border-box;&quot;&gt;&lt;b style=&quot;box-sizing:border-box;&quot;&gt;&lt;/b&gt; &lt;/div&gt;&lt;div style=&quot;box-sizing:border-box;&quot;&gt;&lt;b style=&quot;box-sizing:border-box;&quot;&gt;&lt;/b&gt; &lt;/div&gt;&lt;div style=&quot;box-sizing:border-box;&quot;&gt;&lt;b style=&quot;box-sizing:border-box;&quot;&gt;&lt;/b&gt; &lt;/div&gt;&lt;div style=&quot;box-sizing:border-box;font-family:&amp;quot;Segoe UI&amp;quot;, sans-serif;&quot;&gt;&lt;b style=&quot;box-sizing:border-box;&quot;&gt;&lt;/b&gt; &lt;/div&gt;&lt;div style=&quot;box-sizing:border-box;font-family:&amp;quot;Segoe UI&amp;quot;, sans-serif;&quot;&gt;&lt;b style=&quot;box-sizing:border-box;&quot;&gt;&lt;/b&gt; &lt;/div&gt;&lt;div style=&quot;box-sizing:border-box;margin:0px 0in;&quot;&gt;&lt;b style=&quot;box-sizing:border-box;&quot;&gt;&lt;/b&gt; &lt;/div&gt;&lt;div style=&quot;box-sizing:border-box;font-family:&amp;quot;Segoe UI&amp;quot;, sans-serif;&quot;&gt;&lt;b style=&quot;box-sizing:border-box;&quot;&gt;&lt;/b&gt; &lt;/div&gt;&lt;div style=&quot;box-sizing:border-box;font-family:&amp;quot;Segoe UI&amp;quot;, sans-serif;&quot;&gt;&lt;div style=&quot;box-sizing:border-box;margin:0px 0in;&quot;&gt;&lt;b style=&quot;box-sizing:border-box;&quot;&gt;&lt;/b&gt; &lt;/div&gt; &lt;/div&gt;&lt;div style=&quot;box-sizing:border-box;font-family:&amp;quot;Segoe UI&amp;quot;, system-ui, &amp;quot;Apple Color Emoji&amp;quot;, &amp;quot;Segoe UI Emoji&amp;quot;, sans-serif;&quot;&gt;&lt;b style=&quot;box-sizing:border-box;&quot;&gt;&lt;/b&gt; &lt;/div&gt;&lt;div style=&quot;box-sizing:border-box;&quot;&gt;&lt;b style=&quot;box-sizing:border-box;&quot;&gt;&lt;/b&gt; &lt;/div&gt;&lt;div style=&quot;box-sizing:border-box;&quot;&gt;&lt;b style=&quot;box-sizing:border-box;&quot;&gt;MAS Reference:&lt;/b&gt;&lt;br style=&quot;box-sizing:border-box;&quot;&gt; &lt;/div&gt;&lt;div style=&quot;box-sizing:border-box;&quot;&gt;&lt;a href=&quot;https://microsoft.sharepoint.com/:w:/r/teams/msenable/_layouts/15/Doc.aspx?sourcedoc=%7b6CA3BF14-2635-434A-832C-28DD9A18B9FC%7d&amp;amp;file=MAS%201.4.11%20%E2%80%93%20Non-text%20Contrast.docx&amp;amp;action=default&amp;amp;mobileredirect=true&quot; style=&quot;box-sizing:border-box;text-decoration:underline;cursor:pointer;&quot;&gt;MAS 1.4.11 - Non-text Contrast&lt;/a&gt; &lt;/div&gt;&lt;div style=&quot;box-sizing:border-box;&quot;&gt;&lt;b style=&quot;box-sizing:border-box;&quot;&gt;&lt;br style=&quot;box-sizing:border-box;&quot;&gt;WCAG Reference:&lt;br style=&quot;box-sizing:border-box;&quot;&gt;&lt;/b&gt; &lt;/div&gt;&lt;div style=&quot;box-sizing:border-box;&quot;&gt;&lt;a href=&quot;https://www.w3.org/WAI/WCAG21/Understanding/non-text-contrast&quot; style=&quot;box-sizing:border-box;text-decoration:underline;cursor:pointer;&quot;&gt;https://www.w3.org/WAI/WCAG21/Understanding/non-text-contrast&lt;/a&gt; &lt;/div&gt;&lt;div style=&quot;box-sizing:border-box;font-weight:400;&quot;&gt;&lt;a href=&quot;https://www.w3.org/WAI/WCAG21/Understanding/non-text-contrast&quot; style=&quot;box-sizing:border-box;text-decoration:underline;cursor:pointer;&quot;&gt;&lt;/a&gt; &lt;/div&gt;"/>
    <s v="Si"/>
    <x v="0"/>
    <s v="William Pena "/>
  </r>
  <r>
    <n v="1516917"/>
    <s v="Bug"/>
    <s v="[Supporting the platform - OLP Power Apps - Landing page]: After resizing the page at 200% zoom, page content is not displaying properly."/>
    <s v="New"/>
    <s v="Enrique Monsalve &lt;v-monsalvee@microsoft.com&gt;"/>
    <s v="Si"/>
    <s v="Mauricio"/>
    <s v="Completado"/>
    <s v="A11y-1STPARTY; A11yMAS; A11yMASP3; CommonBrowsers; HCL; HCL_OLP - MayJune FY22 New Update; MAS 1.4.4; NewBaselineAssessment; RecID_8303"/>
    <s v="Ajustamos los elementos del encabezado cumpliendo con los dos escenarios de zoom, nombre visible y foto visible en pantalla de portatil no de monitor"/>
    <x v="1"/>
    <s v="&lt;div style=&quot;box-sizing:border-box;&quot;&gt;&lt;b&gt;&lt;/b&gt; &lt;/div&gt;&lt;div style=&quot;box-sizing:border-box;&quot;&gt;&lt;span style=&quot;box-sizing:border-box;&quot;&gt;&lt;b style=&quot;font-weight:400;&quot;&gt;Note: &lt;/b&gt;Same issue is observed throughout the application for similar type of content.&lt;/span&gt; &lt;/div&gt;&lt;div style=&quot;box-sizing:border-box;&quot;&gt;&lt;span style=&quot;box-sizing:border-box;&quot;&gt;&lt;br&gt;&lt;/span&gt; &lt;/div&gt;&lt;div style=&quot;box-sizing:border-box;font-weight:400;&quot;&gt;&lt;b style=&quot;box-sizing:border-box;&quot;&gt;PWD Impact:&amp;nbsp;&lt;/b&gt;&lt;br style=&quot;box-sizing:border-box;&quot;&gt; &lt;/div&gt;&lt;div style=&quot;box-sizing:border-box;font-weight:400;&quot;&gt;&lt;span style=&quot;box-sizing:border-box;display:inline !important;&quot;&gt;&lt;span style=&quot;box-sizing:border-box;font-family:&amp;quot;Segoe UI&amp;quot;, sans-serif;display:inline !important;&quot;&gt;&lt;span style=&quot;box-sizing:border-box;display:inline !important;&quot;&gt;&lt;span style=&quot;display:inline !important;&quot;&gt;Low vision users who need to enlarge text for navigation through the page are getting impacted if the page content is not displaying properly after resizing the page at 200% zoom.&lt;/span&gt;&lt;/span&gt;&lt;/span&gt;&lt;/span&gt; &lt;/div&gt;&lt;div style=&quot;box-sizing:border-box;font-weight:400;&quot;&gt;&lt;br style=&quot;box-sizing:border-box;&quot;&gt; &lt;/div&gt;&lt;div style=&quot;box-sizing:border-box;font-weight:400;&quot;&gt;&lt;div style=&quot;box-sizing:border-box;&quot;&gt; &lt;/div&gt;&lt;div style=&quot;box-sizing:border-box;&quot;&gt;&lt;b style=&quot;box-sizing:border-box;font-family:&amp;quot;Segoe UI&amp;quot;, sans-serif;&quot;&gt;Test Environment:&lt;/b&gt;&lt;br style=&quot;box-sizing:border-box;&quot;&gt; &lt;/div&gt;&lt;div style=&quot;box-sizing:border-box;&quot;&gt; &lt;/div&gt; &lt;/div&gt;&lt;div style=&quot;box-sizing:border-box;font-weight:400;&quot;&gt; &lt;/div&gt;&lt;div style=&quot;box-sizing:border-box;font-weight:400;&quot;&gt; &lt;/div&gt;&lt;div style=&quot;box-sizing:border-box;font-weight:400;&quot;&gt; &lt;/div&gt;&lt;div style=&quot;box-sizing:border-box;font-weight:400;&quot;&gt; &lt;/div&gt;&lt;p style=&quot;box-sizing:border-box;font-weight:400;margin:0in;&quot;&gt; &lt;/p&gt;&lt;span style=&quot;box-sizing:border-box;font-weight:400;&quot;&gt;&lt;/span&gt;&lt;span style=&quot;box-sizing:border-box;font-weight:400;&quot;&gt;&lt;/span&gt;&lt;span style=&quot;box-sizing:border-box;font-weight:400;&quot;&gt;OS: Windows 11 [Version 21H2 (OS Build 22000.675)]&lt;br style=&quot;box-sizing:border-box;&quot;&gt;&lt;/span&gt;&lt;div style=&quot;box-sizing:border-box;font-weight:400;&quot;&gt;Browser: Edge Chromium (102.0.1245.30), Chrome (102.0.5005.63) &lt;/div&gt;&lt;div style=&quot;box-sizing:border-box;font-weight:400;&quot;&gt;&lt;span style=&quot;box-sizing:border-box;&quot;&gt;URL:&amp;nbsp;&lt;a href=&quot;https://apps.powerapps.com/play/e/aa1775d6-89ae-47fb-b2cd-ebeb56163da6/a/4aed3aec-208a-470a-aab6-c1a9d278d52a?tenantId=72f988bf-86f1-41af-91ab-2d7cd011db47&amp;amp;source=portal&amp;amp;skipAppMetadata=true#&quot; style=&quot;box-sizing:border-box;text-decoration:underline;cursor:pointer;&quot;&gt;Onboarding App - Landing Page - Power Apps&lt;/a&gt;&lt;/span&gt;&lt;br style=&quot;box-sizing:border-box;&quot;&gt; &lt;/div&gt;&lt;span style=&quot;box-sizing:border-box;font-weight:400;&quot;&gt;&lt;/span&gt;&lt;div style=&quot;box-sizing:border-box;font-weight:400;&quot;&gt; &lt;/div&gt;&lt;div style=&quot;box-sizing:border-box;font-weight:400;&quot;&gt; &lt;/div&gt;&lt;div style=&quot;box-sizing:border-box;font-weight:400;&quot;&gt;&lt;br style=&quot;box-sizing:border-box;&quot;&gt; &lt;/div&gt;&lt;div style=&quot;box-sizing:border-box;font-weight:400;&quot;&gt;&lt;span style=&quot;box-sizing:border-box;&quot;&gt;&lt;b style=&quot;box-sizing:border-box;&quot;&gt;&lt;/b&gt;&lt;/span&gt; &lt;/div&gt;&lt;p style=&quot;box-sizing:border-box;font-weight:400;margin:0in;&quot;&gt;&lt;span style=&quot;box-sizing:border-box;font-weight:bold;&quot;&gt;Pre-requisite:&lt;/span&gt; &lt;/p&gt;&lt;p style=&quot;box-sizing:border-box;font-weight:400;margin:0in;&quot;&gt;Step 1: Enable Display setting to a scale resolution of&lt;span&gt;&amp;nbsp;&lt;/span&gt;&lt;span style=&quot;box-sizing:border-box;display:inline !important;&quot;&gt;1280&amp;nbsp;&lt;/span&gt;* 1024 and update scaling to 100%. &lt;/p&gt;&lt;p style=&quot;box-sizing:border-box;font-weight:400;margin:0in;&quot;&gt;Step 2: Enable the browser setting to 200% Zoom mode. &lt;/p&gt;&lt;div style=&quot;box-sizing:border-box;font-weight:400;&quot;&gt;&lt;br&gt; &lt;/div&gt;&lt;div style=&quot;box-sizing:border-box;font-weight:400;&quot;&gt; &lt;/div&gt;&lt;div style=&quot;box-sizing:border-box;font-weight:400;&quot;&gt;&lt;p style=&quot;box-sizing:border-box;margin:0in;&quot;&gt;&lt;b style=&quot;box-sizing:border-box;&quot;&gt;Repro Steps:&lt;/b&gt;&lt;br style=&quot;box-sizing:border-box;&quot;&gt; &lt;/p&gt; &lt;/div&gt;&lt;div style=&quot;box-sizing:border-box;font-weight:400;&quot;&gt;&lt;div style=&quot;box-sizing:border-box;&quot;&gt;&lt;div style=&quot;box-sizing:border-box;&quot;&gt;&lt;div style=&quot;box-sizing:border-box;&quot;&gt;&lt;span style=&quot;box-sizing:border-box;&quot;&gt;&lt;div style=&quot;box-sizing:border-box;&quot;&gt; &lt;/div&gt;&lt;div style=&quot;box-sizing:border-box;&quot;&gt; &lt;/div&gt;&lt;div style=&quot;box-sizing:border-box;&quot;&gt; &lt;/div&gt;&lt;div style=&quot;box-sizing:border-box;&quot;&gt;Step 1:&lt;span style=&quot;box-sizing:border-box;&quot;&gt;&amp;nbsp;&lt;/span&gt;&lt;span style=&quot;box-sizing:border-box;color:rgb(36, 36, 36);font-family:-apple-system, BlinkMacSystemFont, &amp;quot;Segoe UI&amp;quot;, &amp;quot;Apple Color Emoji&amp;quot;, &amp;quot;Segoe UI Emoji&amp;quot;, &amp;quot;Segoe UI Web&amp;quot;, sans-serif;display:inline !important;&quot;&gt;Open the above URL in Edge Chromium Browser or chrome browser.&lt;/span&gt;&lt;span style=&quot;box-sizing:border-box;display:inline !important;&quot;&gt;&lt;/span&gt; &lt;/div&gt;&lt;/span&gt; &lt;/div&gt; &lt;/div&gt; &lt;/div&gt; &lt;/div&gt;&lt;div style=&quot;box-sizing:border-box;font-weight:400;&quot;&gt;Step 2: 'Onboarding App - Landing Page - Power Apps' page will appear.&amp;nbsp; &lt;/div&gt;&lt;div style=&quot;box-sizing:border-box;font-weight:400;&quot;&gt;&lt;div style=&quot;box-sizing:border-box;&quot;&gt;&lt;div style=&quot;box-sizing:border-box;&quot;&gt;&lt;div style=&quot;box-sizing:border-box;&quot;&gt;&lt;span style=&quot;box-sizing:border-box;&quot;&gt;&lt;div style=&quot;box-sizing:border-box;&quot;&gt;Step 3: Navigate on the page. &lt;/div&gt;&lt;div style=&quot;box-sizing:border-box;&quot;&gt;&lt;span style=&quot;box-sizing:border-box;&quot;&gt;&lt;span style=&quot;box-sizing:border-box;&quot;&gt;Step 4:&lt;span style=&quot;box-sizing:border-box;&quot;&gt;&amp;nbsp;Verify whether a&lt;/span&gt;&lt;/span&gt;fter resizing the page at 200% zoom, page content is displaying properly&amp;nbsp;or not.&lt;br style=&quot;box-sizing:border-box;&quot;&gt;&lt;/span&gt; &lt;/div&gt;&lt;div style=&quot;box-sizing:border-box;&quot;&gt;&lt;span style=&quot;box-sizing:border-box;&quot;&gt;&lt;/span&gt; &lt;/div&gt;&lt;div style=&quot;box-sizing:border-box;&quot;&gt;&lt;span style=&quot;box-sizing:border-box;&quot;&gt;&lt;/span&gt; &lt;/div&gt;&lt;div style=&quot;box-sizing:border-box;&quot;&gt;&lt;span style=&quot;box-sizing:border-box;&quot;&gt;&lt;span style=&quot;box-sizing:border-box;font-family:Calibri, sans-serif;font-size:14.6667px;display:inline !important;&quot;&gt;&lt;span style=&quot;box-sizing:border-box;font-size:14px;display:inline !important;&quot;&gt;&lt;br style=&quot;box-sizing:border-box;&quot;&gt;&lt;/span&gt;&lt;/span&gt;&lt;/span&gt; &lt;/div&gt;&lt;/span&gt; &lt;/div&gt; &lt;/div&gt; &lt;/div&gt; &lt;/div&gt;&lt;div style=&quot;box-sizing:border-box;font-weight:400;&quot;&gt;&lt;div style=&quot;box-sizing:border-box;&quot;&gt;&lt;div style=&quot;box-sizing:border-box;&quot;&gt;&lt;b style=&quot;box-sizing:border-box;&quot;&gt;&lt;/b&gt; &lt;/div&gt; &lt;/div&gt; &lt;/div&gt;&lt;div style=&quot;box-sizing:border-box;font-weight:400;&quot;&gt;&lt;div style=&quot;box-sizing:border-box;&quot;&gt;&lt;div style=&quot;box-sizing:border-box;&quot;&gt;&lt;b style=&quot;box-sizing:border-box;&quot;&gt;Actual Result:&lt;/b&gt;&lt;br style=&quot;box-sizing:border-box;&quot;&gt; &lt;/div&gt; &lt;/div&gt; &lt;/div&gt;&lt;div style=&quot;box-sizing:border-box;font-weight:400;&quot;&gt; &lt;/div&gt;&lt;div style=&quot;box-sizing:border-box;font-weight:400;&quot;&gt;&lt;b style=&quot;box-sizing:border-box;&quot;&gt;&lt;span style=&quot;box-sizing:border-box;display:inline !important;&quot;&gt;&lt;/span&gt;&lt;/b&gt; &lt;/div&gt;&lt;div style=&quot;box-sizing:border-box;font-weight:400;&quot;&gt; &lt;/div&gt;&lt;div style=&quot;box-sizing:border-box;&quot;&gt;&lt;div style=&quot;font-weight:400;box-sizing:border-box;&quot;&gt;After resizing the page at 200% zoom, page content is not displaying properly. &lt;/div&gt;&lt;div style=&quot;box-sizing:border-box;&quot;&gt;&lt;b&gt;Observation:&lt;/b&gt; &lt;/div&gt;&lt;div style=&quot;box-sizing:border-box;&quot;&gt;'Customer Account Success Manager' content is not displayed on the page. &lt;/div&gt;&lt;div style=&quot;box-sizing:border-box;&quot;&gt;&lt;span&gt;&lt;b&gt;&lt;/b&gt;&lt;/span&gt; &lt;/div&gt; &lt;/div&gt;&lt;div style=&quot;box-sizing:border-box;&quot;&gt;&lt;br&gt; &lt;/div&gt;&lt;div style=&quot;box-sizing:border-box;&quot;&gt;&lt;div style=&quot;font-weight:400;box-sizing:border-box;&quot;&gt; &lt;/div&gt;&lt;div style=&quot;font-weight:400;box-sizing:border-box;&quot;&gt;&lt;b style=&quot;box-sizing:border-box;&quot;&gt;Expected Result:&lt;br style=&quot;box-sizing:border-box;&quot;&gt;&lt;/b&gt;&lt;div style=&quot;box-sizing:border-box;&quot;&gt;&lt;div style=&quot;box-sizing:border-box;&quot;&gt; &lt;/div&gt; &lt;/div&gt;&lt;span style=&quot;box-sizing:border-box;display:inline !important;&quot;&gt;After resizing the page at 200% zoom&lt;/span&gt;&lt;span style=&quot;display:inline !important;&quot;&gt;,&lt;span&gt;&amp;nbsp;&lt;/span&gt;&lt;/span&gt;&lt;span style=&quot;box-sizing:border-box;display:inline !important;&quot;&gt;page content should display properly.&lt;/span&gt; &lt;/div&gt;&lt;div style=&quot;font-weight:400;box-sizing:border-box;&quot;&gt;&lt;span style=&quot;box-sizing:border-box;display:inline !important;&quot;&gt;Ex:&amp;nbsp;&lt;span style=&quot;display:inline !important;&quot;&gt;'Customer Account Success Manager' content should be displayed on the page.&lt;/span&gt;&lt;/span&gt; &lt;/div&gt;&lt;div style=&quot;font-weight:400;box-sizing:border-box;&quot;&gt;&lt;span style=&quot;box-sizing:border-box;display:inline !important;&quot;&gt;&lt;span style=&quot;display:inline !important;&quot;&gt;&lt;br&gt;The same issue is observed in 400% zoom mode.&lt;/span&gt;&lt;/span&gt; &lt;/div&gt;&lt;div style=&quot;box-sizing:border-box;&quot;&gt;&lt;span style=&quot;box-sizing:border-box;display:inline !important;&quot;&gt;&lt;span style=&quot;display:inline !important;&quot;&gt;&lt;div style=&quot;font-weight:bold;box-sizing:border-box;&quot;&gt;&lt;b style=&quot;box-sizing:border-box;&quot;&gt;Other Instances:&lt;/b&gt; &lt;/div&gt;&lt;div style=&quot;font-weight:400;box-sizing:border-box;&quot;&gt;&lt;b style=&quot;box-sizing:border-box;font-weight:bold;&quot;&gt;1.&lt;/b&gt;Same issue replicates on the 'Content page'.&amp;nbsp; &lt;/div&gt;&lt;div style=&quot;font-weight:400;box-sizing:border-box;&quot;&gt;&lt;b style=&quot;box-sizing:border-box;&quot;&gt;Observation:&lt;/b&gt;&lt;span&gt;&amp;nbsp;'Browse' control, 'Hi Lakshmi' 'On boarding' text, 'Search by keyword' placeholder text for 'Search' edit fields are getting truncated.&lt;/span&gt; &lt;/div&gt;&lt;div style=&quot;box-sizing:border-box;&quot;&gt;&lt;span style=&quot;box-sizing:border-box;&quot;&gt;&lt;b style=&quot;box-sizing:border-box;&quot;&gt;Refer Attachment:&lt;span style=&quot;box-sizing:border-box;&quot;&gt;&amp;nbsp;&lt;/span&gt;&lt;/b&gt;&lt;font face=&quot;Segoe UI, sans-serif&quot; style=&quot;box-sizing:border-box;&quot;&gt;MAS 1.4.10_(Other instance1)&lt;span style=&quot;box-sizing:border-box;&quot;&gt;&lt;b style=&quot;font-weight:400;box-sizing:border-box;&quot;&gt;_&lt;/b&gt;&lt;span style=&quot;box-sizing:border-box;&quot;&gt;Few content present in the page truncated.mp4&lt;/span&gt;&lt;/span&gt;&lt;/font&gt;&lt;/span&gt; &lt;/div&gt;&lt;div style=&quot;box-sizing:border-box;&quot;&gt;&lt;span style=&quot;box-sizing:border-box;&quot;&gt;&lt;font face=&quot;Segoe UI, sans-serif&quot; style=&quot;box-sizing:border-box;&quot;&gt;&lt;span style=&quot;box-sizing:border-box;&quot;&gt;&lt;span style=&quot;box-sizing:border-box;&quot;&gt;&lt;br&gt;&lt;/span&gt;&lt;/span&gt;&lt;/font&gt;&lt;/span&gt; &lt;/div&gt;&lt;div style=&quot;box-sizing:border-box;&quot;&gt;&lt;span style=&quot;box-sizing:border-box;&quot;&gt;&lt;font face=&quot;Segoe UI, sans-serif&quot; style=&quot;box-sizing:border-box;&quot;&gt;&lt;span style=&quot;box-sizing:border-box;&quot;&gt;&lt;span style=&quot;box-sizing:border-box;&quot;&gt;2.&amp;nbsp;&lt;span style=&quot;display:inline !important;&quot;&gt;Same issue replicates on the 'Content page' for search field.&lt;/span&gt;&lt;/span&gt;&lt;/span&gt;&lt;/font&gt;&lt;/span&gt; &lt;/div&gt;&lt;div style=&quot;box-sizing:border-box;&quot;&gt;&lt;span style=&quot;box-sizing:border-box;&quot;&gt;&lt;font face=&quot;Segoe UI, sans-serif&quot; style=&quot;box-sizing:border-box;&quot;&gt;&lt;span style=&quot;box-sizing:border-box;&quot;&gt;&lt;span style=&quot;box-sizing:border-box;&quot;&gt;&lt;b&gt;Observation:&lt;/b&gt; Keyboard focus indicator is overlapping for 'clear' or 'close' button with search text.&lt;/span&gt;&lt;/span&gt;&lt;/font&gt;&lt;/span&gt; &lt;/div&gt;&lt;div style=&quot;box-sizing:border-box;&quot;&gt;&lt;span style=&quot;box-sizing:border-box;&quot;&gt;&lt;font face=&quot;Segoe UI, sans-serif&quot; style=&quot;box-sizing:border-box;&quot;&gt;&lt;span style=&quot;box-sizing:border-box;&quot;&gt;&lt;span style=&quot;box-sizing:border-box;&quot;&gt;&lt;b style=&quot;box-sizing:border-box;&quot;&gt;Refer Attachment:&lt;span style=&quot;box-sizing:border-box;&quot;&gt;&amp;nbsp;&lt;/span&gt;&lt;/b&gt;&lt;font face=&quot;Segoe UI, sans-serif&quot; style=&quot;box-sizing:border-box;&quot;&gt;MAS 1.4.10_ (Other instance2) _&lt;/font&gt;&lt;/span&gt;&lt;/span&gt;&lt;/font&gt;&lt;/span&gt;&lt;span style=&quot;font-family:&amp;quot;Segoe UI&amp;quot;, sans-serif;&quot;&gt;focus indicator overlapping for clear button with search text.mp4&lt;/span&gt; &lt;/div&gt;&lt;div style=&quot;box-sizing:border-box;&quot;&gt;&lt;span style=&quot;box-sizing:border-box;&quot;&gt;&lt;font face=&quot;Segoe UI, sans-serif&quot; style=&quot;box-sizing:border-box;&quot;&gt;&lt;span style=&quot;box-sizing:border-box;&quot;&gt;&lt;span style=&quot;box-sizing:border-box;&quot;&gt;&lt;font face=&quot;Segoe UI, sans-serif&quot; style=&quot;box-sizing:border-box;&quot;&gt;&lt;span style=&quot;box-sizing:border-box;&quot;&gt;&lt;span style=&quot;box-sizing:border-box;&quot;&gt;&lt;br&gt;&lt;/span&gt;&lt;/span&gt;&lt;/font&gt;&lt;/span&gt;&lt;/span&gt;&lt;/font&gt;&lt;/span&gt; &lt;/div&gt;&lt;div style=&quot;box-sizing:border-box;&quot;&gt;&lt;span style=&quot;box-sizing:border-box;&quot;&gt;&lt;font face=&quot;Segoe UI, sans-serif&quot; style=&quot;box-sizing:border-box;&quot;&gt;&lt;span style=&quot;box-sizing:border-box;&quot;&gt;&lt;span style=&quot;box-sizing:border-box;&quot;&gt;&lt;font face=&quot;Segoe UI, sans-serif&quot; style=&quot;box-sizing:border-box;&quot;&gt;&lt;span style=&quot;box-sizing:border-box;&quot;&gt;&lt;span style=&quot;box-sizing:border-box;&quot;&gt;3.&lt;span&gt;Same issue replicates on the 'Content page' for 'Filter' and 'Sort' related dialogs.&lt;/span&gt;&lt;div style=&quot;box-sizing:border-box;&quot;&gt;&lt;span style=&quot;box-sizing:border-box;&quot;&gt;&lt;font face=&quot;Segoe UI, sans-serif&quot; style=&quot;box-sizing:border-box;&quot;&gt;&lt;span style=&quot;box-sizing:border-box;&quot;&gt;&lt;span style=&quot;box-sizing:border-box;&quot;&gt;&lt;b style=&quot;box-sizing:border-box;&quot;&gt;Observation:&lt;/b&gt;&lt;span&gt;&amp;nbsp;'Filter' and 'Sort' related dialogs are getting truncated. Inside the dialog also truncated for both filter and sort controls.&lt;/span&gt;&lt;/span&gt;&lt;/span&gt;&lt;/font&gt;&lt;/span&gt; &lt;/div&gt;&lt;div style=&quot;box-sizing:border-box;&quot;&gt;&lt;span style=&quot;box-sizing:border-box;&quot;&gt;&lt;font face=&quot;Segoe UI, sans-serif&quot; style=&quot;box-sizing:border-box;&quot;&gt;&lt;span style=&quot;box-sizing:border-box;&quot;&gt;&lt;span style=&quot;box-sizing:border-box;&quot;&gt;&lt;b style=&quot;box-sizing:border-box;&quot;&gt;Refer Attachment:&lt;span style=&quot;box-sizing:border-box;&quot;&gt;&amp;nbsp;&lt;/span&gt;&lt;/b&gt;&lt;font face=&quot;Segoe UI, sans-serif&quot; style=&quot;box-sizing:border-box;&quot;&gt;MAS 1.4.10_ (Other instance3) _&lt;span style=&quot;box-sizing:border-box;&quot;&gt;&lt;span style=&quot;box-sizing:border-box;&quot;&gt;dialogs data getting truncated.mp4&lt;/span&gt;&lt;/span&gt;&lt;/font&gt;&lt;/span&gt;&lt;/span&gt;&lt;/font&gt;&lt;/span&gt; &lt;/div&gt;&lt;/span&gt;&lt;/span&gt;&lt;/font&gt;&lt;/span&gt;&lt;/span&gt;&lt;/font&gt;&lt;/span&gt; &lt;/div&gt;&lt;div style=&quot;box-sizing:border-box;&quot;&gt;&lt;span style=&quot;box-sizing:border-box;&quot;&gt;&lt;font face=&quot;Segoe UI, sans-serif&quot; style=&quot;box-sizing:border-box;&quot;&gt;&lt;span style=&quot;box-sizing:border-box;&quot;&gt;&lt;span style=&quot;box-sizing:border-box;&quot;&gt;&lt;font face=&quot;Segoe UI, sans-serif&quot; style=&quot;box-sizing:border-box;&quot;&gt;&lt;span style=&quot;box-sizing:border-box;&quot;&gt;&lt;span style=&quot;box-sizing:border-box;&quot;&gt;&lt;br&gt;&lt;/span&gt;&lt;/span&gt;&lt;/font&gt;&lt;/span&gt;&lt;/span&gt;&lt;/font&gt;&lt;/span&gt; &lt;/div&gt;&lt;div style=&quot;box-sizing:border-box;&quot;&gt;&lt;b style=&quot;font-family:&amp;quot;Segoe UI&amp;quot;, system-ui, &amp;quot;Apple Color Emoji&amp;quot;, &amp;quot;Segoe UI Emoji&amp;quot;, sans-serif;&quot;&gt;MAS Reference:&lt;/b&gt;&lt;br&gt; &lt;/div&gt;&lt;/span&gt;&lt;/span&gt; &lt;/div&gt; &lt;/div&gt;&lt;div&gt;&lt;div&gt;&lt;a href=&quot;https://microsoft.sharepoint.com/:w:/r/sites/accessibility/_layouts/15/Doc.aspx?sourcedoc=%7b5BE8E205-7508-414C-A273-657770321DA0%7d&amp;amp;file=MAS%201.4.4%20%E2%80%93%20Resize%20Text.docx&amp;amp;wdLOR=cD434D0F2-F515-4FD8-B4DA-BA99282968ED&amp;amp;action=default&amp;amp;mobileredirect=true&quot;&gt;MAS 1.4.4 – Resize Text&lt;/a&gt;&lt;br style=&quot;box-sizing:border-box;&quot;&gt; &lt;/div&gt; &lt;/div&gt;&lt;div style=&quot;box-sizing:border-box;font-weight:400;&quot;&gt;&lt;div style=&quot;box-sizing:border-box;&quot;&gt;&lt;div style=&quot;box-sizing:border-box;&quot;&gt;&lt;div style=&quot;box-sizing:border-box;&quot;&gt;&lt;span style=&quot;box-sizing:border-box;font-weight:bold;&quot;&gt;&lt;div style=&quot;box-sizing:border-box;font-weight:400;&quot;&gt;&lt;div style=&quot;box-sizing:border-box;&quot;&gt;&lt;div style=&quot;box-sizing:border-box;font-family:&amp;quot;Segoe UI&amp;quot;, system-ui, &amp;quot;Apple Color Emoji&amp;quot;, &amp;quot;Segoe UI Emoji&amp;quot;, sans-serif;margin:0px 0in;&quot;&gt; &lt;/div&gt;&lt;div style=&quot;box-sizing:border-box;font-family:&amp;quot;Segoe UI&amp;quot;, system-ui, &amp;quot;Apple Color Emoji&amp;quot;, &amp;quot;Segoe UI Emoji&amp;quot;, sans-serif;margin:0px 0in;&quot;&gt;&lt;br style=&quot;box-sizing:border-box;&quot;&gt; &lt;/div&gt;&lt;div style=&quot;box-sizing:border-box;font-family:&amp;quot;Segoe UI&amp;quot;, system-ui, &amp;quot;Apple Color Emoji&amp;quot;, &amp;quot;Segoe UI Emoji&amp;quot;, sans-serif;margin:0px 0in;&quot;&gt;&lt;b style=&quot;box-sizing:border-box;&quot;&gt;WCAG Reference:&lt;/b&gt; &lt;/div&gt;&lt;div style=&quot;box-sizing:border-box;font-family:&amp;quot;Segoe UI&amp;quot;, system-ui, &amp;quot;Apple Color Emoji&amp;quot;, &amp;quot;Segoe UI Emoji&amp;quot;, sans-serif;margin:0px 0in;&quot;&gt;&lt;a href=&quot;https://www.w3.org/WAI/WCAG21/Understanding/non-text-content.html&quot; style=&quot;box-sizing:border-box;text-decoration:underline;cursor:pointer;&quot;&gt;&lt;span lang=en-IN style=&quot;box-sizing:border-box;&quot;&gt;&lt;/span&gt;&lt;/a&gt; &lt;/div&gt;&lt;a href=&quot;https://www.w3.org/WAI/WCAG21/Understanding/resize-text.html&quot;&gt;https://www.w3.org/WAI/WCAG21/Understanding/resize-text.html&lt;/a&gt; &lt;/div&gt; &lt;/div&gt;&lt;/span&gt; &lt;/div&gt; &lt;/div&gt; &lt;/div&gt; &lt;/div&gt;"/>
    <s v="No"/>
    <x v="1"/>
    <s v="Priyanka Mangla "/>
  </r>
  <r>
    <n v="1517380"/>
    <s v="Bug"/>
    <s v="[Supporting the platform - OLP Power Apps - Landing page]: After resizing the page at 400% zoom mode, Keyboard Focus indicator is not properly visible for 'play video' button, while navigating using tab/shift tab key."/>
    <s v="New"/>
    <s v="Enrique Monsalve &lt;v-monsalvee@microsoft.com&gt;"/>
    <s v="No revisado"/>
    <s v="Mauricio"/>
    <s v="Completado"/>
    <s v="A11y-1STPARTY; A11yMAS; A11yMASP3; CommonBrowsers; HCL; HCL_OLP - MayJune FY22 New Update; MAS 1.4.10; NewBaselineAssessment; RecID_8303"/>
    <m/>
    <x v="1"/>
    <s v="&lt;div style=&quot;box-sizing:border-box;&quot;&gt;&lt;b&gt;&lt;/b&gt; &lt;/div&gt;&lt;div style=&quot;box-sizing:border-box;font-weight:400;&quot;&gt;&lt;b style=&quot;box-sizing:border-box;&quot;&gt;PWD Impact:&amp;nbsp;&lt;/b&gt;&lt;br style=&quot;box-sizing:border-box;&quot;&gt; &lt;/div&gt;&lt;div style=&quot;box-sizing:border-box;font-weight:400;&quot;&gt;&lt;span style=&quot;box-sizing:border-box;display:inline !important;&quot;&gt;&lt;span style=&quot;box-sizing:border-box;font-family:&amp;quot;Segoe UI&amp;quot;, sans-serif;display:inline !important;&quot;&gt;&lt;span style=&quot;box-sizing:border-box;display:inline !important;&quot;&gt;&lt;span style=&quot;display:inline !important;&quot;&gt;&lt;/span&gt;&lt;/span&gt;&lt;/span&gt;&lt;/span&gt; &lt;/div&gt;&lt;span style=&quot;box-sizing:border-box;font-family:&amp;quot;Segoe UI&amp;quot;, sans-serif;display:inline !important;&quot;&gt;Low vision users will get impacted&amp;nbsp;if &lt;/span&gt;after resizing the page at 400% zoom mode, Keyboard Focus indicator is not properly visible for 'play video' button, while navigating using tab/shift tab key.&lt;span style=&quot;box-sizing:border-box;font-family:&amp;quot;Segoe UI&amp;quot;, sans-serif;display:inline !important;&quot;&gt;, users will find it difficult to track the tab focus.&lt;/span&gt;&lt;div style=&quot;box-sizing:border-box;font-weight:400;&quot;&gt;&lt;br style=&quot;box-sizing:border-box;&quot;&gt; &lt;/div&gt;&lt;div style=&quot;box-sizing:border-box;font-weight:400;&quot;&gt;&lt;div style=&quot;box-sizing:border-box;&quot;&gt; &lt;/div&gt;&lt;div style=&quot;box-sizing:border-box;&quot;&gt;&lt;b style=&quot;box-sizing:border-box;font-family:&amp;quot;Segoe UI&amp;quot;, sans-serif;&quot;&gt;Test Environment:&lt;/b&gt;&lt;br style=&quot;box-sizing:border-box;&quot;&gt; &lt;/div&gt;&lt;div style=&quot;box-sizing:border-box;&quot;&gt; &lt;/div&gt; &lt;/div&gt;&lt;div style=&quot;box-sizing:border-box;font-weight:400;&quot;&gt; &lt;/div&gt;&lt;div style=&quot;box-sizing:border-box;font-weight:400;&quot;&gt; &lt;/div&gt;&lt;div style=&quot;box-sizing:border-box;font-weight:400;&quot;&gt; &lt;/div&gt;&lt;div style=&quot;box-sizing:border-box;font-weight:400;&quot;&gt; &lt;/div&gt;&lt;p style=&quot;box-sizing:border-box;font-weight:400;margin:0in;&quot;&gt; &lt;/p&gt;&lt;span style=&quot;box-sizing:border-box;font-weight:400;&quot;&gt;&lt;/span&gt;&lt;span style=&quot;box-sizing:border-box;font-weight:400;&quot;&gt;&lt;/span&gt;&lt;span style=&quot;box-sizing:border-box;font-weight:400;&quot;&gt;OS: Windows 11 [Version 21H2 (OS Build 22000.675)]&lt;br style=&quot;box-sizing:border-box;&quot;&gt;&lt;/span&gt;&lt;div style=&quot;box-sizing:border-box;font-weight:400;&quot;&gt;Browser: Edge Chromium (102.0.1245.30), Chrome (102.0.5005.63) &lt;/div&gt;&lt;div style=&quot;box-sizing:border-box;font-weight:400;&quot;&gt;&lt;span style=&quot;box-sizing:border-box;&quot;&gt;URL:&amp;nbsp;&lt;a title=&quot;https://apps.preview.powerapps.com/play/347399e1-18ec-4002-aa22-c0285a367aaf?tenantId=72f988bf-86f1-41af-91ab-2d7cd011db47&quot; href=&quot;https://apps.preview.powerapps.com/play/347399e1-18ec-4002-aa22-c0285a367aaf?tenantId=72f988bf-86f1-41af-91ab-2d7cd011db47&quot; rel=&quot;noopener noreferrer&quot; target=_blank tabindex=-1 style=&quot;box-sizing:border-box;color:rgb(79, 82, 178);text-decoration:underline;font-family:-apple-system, BlinkMacSystemFont, &amp;quot;Segoe UI&amp;quot;, system-ui, &amp;quot;Apple Color Emoji&amp;quot;, &amp;quot;Segoe UI Emoji&amp;quot;, &amp;quot;Segoe UI Web&amp;quot;, sans-serif;font-size:14.6667px;&quot;&gt;https://apps.preview.powerapps.com/play/&lt;/a&gt;&lt;/span&gt;&lt;br style=&quot;box-sizing:border-box;&quot;&gt; &lt;/div&gt;&lt;span style=&quot;box-sizing:border-box;font-weight:400;&quot;&gt;&lt;/span&gt;&lt;div style=&quot;box-sizing:border-box;font-weight:400;&quot;&gt; &lt;/div&gt;&lt;div style=&quot;box-sizing:border-box;font-weight:400;&quot;&gt; &lt;/div&gt;&lt;div style=&quot;box-sizing:border-box;font-weight:400;&quot;&gt;&lt;br style=&quot;box-sizing:border-box;&quot;&gt; &lt;/div&gt;&lt;div style=&quot;box-sizing:border-box;font-weight:400;&quot;&gt;&lt;span style=&quot;box-sizing:border-box;&quot;&gt;&lt;b style=&quot;box-sizing:border-box;&quot;&gt;&lt;/b&gt;&lt;/span&gt; &lt;/div&gt;&lt;p style=&quot;box-sizing:border-box;font-weight:400;margin:0in;&quot;&gt;&lt;span style=&quot;box-sizing:border-box;font-weight:bold;&quot;&gt;Pre-requisite:&lt;/span&gt; &lt;/p&gt;&lt;p style=&quot;box-sizing:border-box;font-weight:400;margin:0in;&quot;&gt;Step 1: Enable Display setting to a scale resolution of&lt;span&gt;&amp;nbsp;&lt;/span&gt;&lt;span style=&quot;box-sizing:border-box;display:inline !important;&quot;&gt;1280&amp;nbsp;&lt;/span&gt;* 1024 and update scaling to 100%. &lt;/p&gt;&lt;p style=&quot;box-sizing:border-box;font-weight:400;margin:0in;&quot;&gt;Step 2: Enable the browser setting to 400% Zoom mode. &lt;/p&gt;&lt;div style=&quot;box-sizing:border-box;font-weight:400;&quot;&gt;&lt;br&gt; &lt;/div&gt;&lt;div style=&quot;box-sizing:border-box;font-weight:400;&quot;&gt; &lt;/div&gt;&lt;div style=&quot;box-sizing:border-box;font-weight:400;&quot;&gt;&lt;p style=&quot;box-sizing:border-box;margin:0in;&quot;&gt;&lt;b style=&quot;box-sizing:border-box;&quot;&gt;Repro Steps:&lt;/b&gt;&lt;br style=&quot;box-sizing:border-box;&quot;&gt; &lt;/p&gt; &lt;/div&gt;&lt;div style=&quot;box-sizing:border-box;font-weight:400;&quot;&gt;&lt;div style=&quot;box-sizing:border-box;&quot;&gt;&lt;div style=&quot;box-sizing:border-box;&quot;&gt;&lt;div style=&quot;box-sizing:border-box;&quot;&gt;&lt;span style=&quot;box-sizing:border-box;&quot;&gt;&lt;div style=&quot;box-sizing:border-box;&quot;&gt; &lt;/div&gt;&lt;div style=&quot;box-sizing:border-box;&quot;&gt; &lt;/div&gt;&lt;div style=&quot;box-sizing:border-box;&quot;&gt; &lt;/div&gt;&lt;div style=&quot;box-sizing:border-box;&quot;&gt;Step 1:&lt;span style=&quot;box-sizing:border-box;&quot;&gt;&amp;nbsp;&lt;/span&gt;&lt;span style=&quot;box-sizing:border-box;color:rgb(36, 36, 36);font-family:-apple-system, BlinkMacSystemFont, &amp;quot;Segoe UI&amp;quot;, &amp;quot;Apple Color Emoji&amp;quot;, &amp;quot;Segoe UI Emoji&amp;quot;, &amp;quot;Segoe UI Web&amp;quot;, sans-serif;display:inline !important;&quot;&gt;Open the above URL in Edge Chromium Browser or chrome browser.&lt;/span&gt;&lt;span style=&quot;box-sizing:border-box;display:inline !important;&quot;&gt;&lt;/span&gt; &lt;/div&gt;&lt;/span&gt; &lt;/div&gt; &lt;/div&gt; &lt;/div&gt; &lt;/div&gt;&lt;div style=&quot;box-sizing:border-box;font-weight:400;&quot;&gt;Step 2: 'Onboarding App - Content Page - Power Apps' page will appear.&amp;nbsp; &lt;/div&gt;&lt;div&gt;&lt;div&gt;Step 3: Navigate on the CSA Role basics activate it-&amp;gt;Navigate on the 'Microsoft Cloud Adoption Framework (CAF) for Azure' button and&amp;nbsp;&lt;span style=&quot;display:inline !important;&quot;&gt;activate it.&lt;/span&gt; &lt;/div&gt; &lt;/div&gt;&lt;div&gt;&lt;span style=&quot;display:inline !important;&quot;&gt;&lt;span style=&quot;display:inline !important;&quot;&gt;Step 4:&lt;/span&gt;&amp;nbsp;&lt;span style=&quot;display:inline !important;&quot;&gt;Microsoft Cloud Adoption Framework (CAF) for Azure' dialog will appear.&lt;/span&gt;&lt;/span&gt; &lt;/div&gt;&lt;div style=&quot;box-sizing:border-box;font-weight:400;&quot;&gt;&lt;div style=&quot;box-sizing:border-box;&quot;&gt;&lt;div style=&quot;box-sizing:border-box;&quot;&gt;&lt;div style=&quot;box-sizing:border-box;&quot;&gt;&lt;span style=&quot;box-sizing:border-box;&quot;&gt;&lt;div style=&quot;box-sizing:border-box;&quot;&gt;&lt;span style=&quot;box-sizing:border-box;&quot;&gt;&lt;span style=&quot;box-sizing:border-box;&quot;&gt;Step 5:&lt;span style=&quot;box-sizing:border-box;&quot;&gt;&amp;nbsp;Verify whether a&lt;/span&gt;&lt;/span&gt;fter resizing the page at 400% zoom mode, Keyboard Focus indicator is not properly visible for 'play video' button, while navigating using tab/shift tab key.&amp;nbsp;or not.&lt;br style=&quot;box-sizing:border-box;&quot;&gt;&lt;/span&gt; &lt;/div&gt;&lt;div style=&quot;box-sizing:border-box;&quot;&gt;&lt;span style=&quot;box-sizing:border-box;&quot;&gt;&lt;/span&gt; &lt;/div&gt;&lt;div style=&quot;box-sizing:border-box;&quot;&gt;&lt;span style=&quot;box-sizing:border-box;&quot;&gt;&lt;/span&gt; &lt;/div&gt;&lt;div style=&quot;box-sizing:border-box;&quot;&gt;&lt;span style=&quot;box-sizing:border-box;&quot;&gt;&lt;span style=&quot;box-sizing:border-box;font-family:Calibri, sans-serif;font-size:14.6667px;display:inline !important;&quot;&gt;&lt;span style=&quot;box-sizing:border-box;font-size:14px;display:inline !important;&quot;&gt;&lt;br style=&quot;box-sizing:border-box;&quot;&gt;&lt;/span&gt;&lt;/span&gt;&lt;/span&gt; &lt;/div&gt;&lt;/span&gt; &lt;/div&gt; &lt;/div&gt; &lt;/div&gt; &lt;/div&gt;&lt;div style=&quot;box-sizing:border-box;font-weight:400;&quot;&gt;&lt;div style=&quot;box-sizing:border-box;&quot;&gt;&lt;div style=&quot;box-sizing:border-box;&quot;&gt;&lt;b style=&quot;box-sizing:border-box;&quot;&gt;&lt;/b&gt; &lt;/div&gt; &lt;/div&gt; &lt;/div&gt;&lt;div style=&quot;box-sizing:border-box;font-weight:400;&quot;&gt;&lt;div style=&quot;box-sizing:border-box;&quot;&gt;&lt;div style=&quot;box-sizing:border-box;&quot;&gt;&lt;b style=&quot;box-sizing:border-box;&quot;&gt;Actual Result:&lt;/b&gt; &lt;/div&gt;&lt;div style=&quot;box-sizing:border-box;&quot;&gt;&lt;span style=&quot;&quot;&gt;At 400% zoom mode, Keyboard Focus indicator is not properly visible for 'play video' button, while navigating using tab/shift tab key.&lt;/span&gt; &lt;/div&gt; &lt;/div&gt; &lt;/div&gt;&lt;div style=&quot;box-sizing:border-box;&quot;&gt;&lt;div style=&quot;box-sizing:border-box;&quot;&gt;&lt;br&gt; &lt;/div&gt; &lt;/div&gt;&lt;div style=&quot;box-sizing:border-box;font-weight:400;&quot;&gt;&lt;div style=&quot;box-sizing:border-box;&quot;&gt; &lt;/div&gt;&lt;div style=&quot;box-sizing:border-box;&quot;&gt;&lt;b style=&quot;box-sizing:border-box;&quot;&gt;Expected Result:&lt;br style=&quot;box-sizing:border-box;&quot;&gt;&lt;/b&gt;&lt;div style=&quot;box-sizing:border-box;&quot;&gt;&lt;div style=&quot;box-sizing:border-box;&quot;&gt; &lt;/div&gt; &lt;/div&gt;At 400% zoom mode, Keyboard Focus indicator should be properly visible for the 'play video' button, while navigating using tab/shift tab key. &lt;/div&gt;&lt;div style=&quot;box-sizing:border-box;&quot;&gt;&lt;br&gt; &lt;/div&gt; &lt;/div&gt;&lt;div style=&quot;box-sizing:border-box;font-weight:400;&quot;&gt;&lt;div style=&quot;box-sizing:border-box;&quot;&gt;&lt;div style=&quot;box-sizing:border-box;&quot;&gt;&lt;div style=&quot;box-sizing:border-box;&quot;&gt;&lt;span style=&quot;box-sizing:border-box;font-weight:bold;&quot;&gt;&lt;div style=&quot;box-sizing:border-box;font-weight:400;&quot;&gt;&lt;div style=&quot;box-sizing:border-box;&quot;&gt;&lt;b style=&quot;box-sizing:border-box;&quot;&gt;&lt;/b&gt; &lt;/div&gt;&lt;div style=&quot;box-sizing:border-box;&quot;&gt;&lt;div style=&quot;box-sizing:border-box;font-family:&amp;quot;Segoe UI&amp;quot;, system-ui, &amp;quot;Apple Color Emoji&amp;quot;, &amp;quot;Segoe UI Emoji&amp;quot;, sans-serif;margin:0px 0in;&quot;&gt;&lt;span style=&quot;box-sizing:border-box;&quot;&gt;&lt;b style=&quot;box-sizing:border-box;&quot;&gt;MAS Reference:&lt;/b&gt;&lt;/span&gt; &lt;/div&gt;&lt;div style=&quot;box-sizing:border-box;font-family:&amp;quot;Segoe UI&amp;quot;, system-ui, &amp;quot;Apple Color Emoji&amp;quot;, &amp;quot;Segoe UI Emoji&amp;quot;, sans-serif;margin:0px 0in;&quot;&gt;&lt;span style=&quot;box-sizing:border-box;&quot;&gt;&lt;a href=&quot;https://microsoft.sharepoint.com/:w:/r/sites/accessibility/_layouts/15/Doc.aspx?sourcedoc=%7b01839D9A-2E1B-423E-B7FA-A9BAD43FD301%7d&amp;amp;file=MAS%201.4.10%20%E2%80%93%20Reflow.docx&amp;amp;wdLOR=cE644E791-4BD0-43AB-8EE6-07C443CBDD40&amp;amp;action=default&amp;amp;mobileredirect=true&quot; style=&quot;box-sizing:border-box;text-decoration:underline;cursor:pointer;&quot;&gt;MAS 1.4.10 – Reflow&lt;/a&gt;&lt;br style=&quot;box-sizing:border-box;&quot;&gt;&lt;/span&gt; &lt;/div&gt;&lt;div style=&quot;box-sizing:border-box;font-family:&amp;quot;Segoe UI&amp;quot;, system-ui, &amp;quot;Apple Color Emoji&amp;quot;, &amp;quot;Segoe UI Emoji&amp;quot;, sans-serif;margin:0px 0in;&quot;&gt;&lt;br style=&quot;box-sizing:border-box;&quot;&gt; &lt;/div&gt;&lt;div style=&quot;box-sizing:border-box;font-family:&amp;quot;Segoe UI&amp;quot;, system-ui, &amp;quot;Apple Color Emoji&amp;quot;, &amp;quot;Segoe UI Emoji&amp;quot;, sans-serif;margin:0px 0in;&quot;&gt;&lt;b style=&quot;box-sizing:border-box;&quot;&gt;WCAG Reference:&lt;/b&gt; &lt;/div&gt;&lt;div style=&quot;box-sizing:border-box;font-family:&amp;quot;Segoe UI&amp;quot;, system-ui, &amp;quot;Apple Color Emoji&amp;quot;, &amp;quot;Segoe UI Emoji&amp;quot;, sans-serif;margin:0px 0in;&quot;&gt;&lt;a href=&quot;https://www.w3.org/WAI/WCAG21/Understanding/non-text-content.html&quot; style=&quot;box-sizing:border-box;text-decoration:underline;cursor:pointer;&quot;&gt;&lt;span lang=en-IN style=&quot;box-sizing:border-box;&quot;&gt;&lt;/span&gt;&lt;/a&gt; &lt;/div&gt;&lt;a href=&quot;https://www.w3.org/WAI/WCAG21/Understanding/reflow.html&quot; style=&quot;box-sizing:border-box;text-decoration:underline;cursor:pointer;font-family:&amp;quot;Segoe UI&amp;quot;, system-ui, &amp;quot;Apple Color Emoji&amp;quot;, &amp;quot;Segoe UI Emoji&amp;quot;, sans-serif;&quot;&gt;https://www.w3.org/WAI/WCAG21/Understanding/reflow.html&lt;/a&gt; &lt;/div&gt; &lt;/div&gt;&lt;/span&gt; &lt;/div&gt; &lt;/div&gt; &lt;/div&gt; &lt;/div&gt;"/>
    <s v="Si"/>
    <x v="0"/>
    <s v="Enrique Monsalve "/>
  </r>
  <r>
    <n v="1517386"/>
    <s v="Bug"/>
    <s v="[Keyboard Navigation - OLP Power Apps - Landing page]: Keyboard focus loss is observed after invoking 'Azure Landing Zones' button while navigating using tab key"/>
    <s v="New"/>
    <s v="Enrique Monsalve &lt;v-monsalvee@microsoft.com&gt;"/>
    <s v="No revisado"/>
    <s v="William"/>
    <s v="Completado"/>
    <s v="A11y-1STPARTY; A11yMAS; A11yMASP3; CommonBrowsers; HCL; HCL_OLP - MayJune FY22 New Update; MAS 2.4.3; NewBaselineAssessment; RecID_8303"/>
    <s v="Discutir solución con Federico, Focus se hizo sobre otro elemento."/>
    <x v="1"/>
    <s v="&lt;div style=&quot;box-sizing:border-box;&quot;&gt;&lt;b&gt;&lt;/b&gt; &lt;/div&gt;&lt;div style=&quot;box-sizing:border-box;font-weight:400;&quot;&gt;&lt;b style=&quot;box-sizing:border-box;&quot;&gt;PWD Impact:&amp;nbsp;&lt;/b&gt;&lt;br style=&quot;box-sizing:border-box;&quot;&gt; &lt;/div&gt;&lt;div style=&quot;box-sizing:border-box;font-weight:400;&quot;&gt;&lt;span style=&quot;box-sizing:border-box;display:inline !important;&quot;&gt;&lt;span style=&quot;box-sizing:border-box;font-family:&amp;quot;Segoe UI&amp;quot;, sans-serif;display:inline !important;&quot;&gt;&lt;span style=&quot;box-sizing:border-box;display:inline !important;&quot;&gt;&lt;span style=&quot;display:inline !important;&quot;&gt;&lt;/span&gt;&lt;/span&gt;&lt;/span&gt;&lt;/span&gt; &lt;/div&gt;&lt;span style=&quot;box-sizing:border-box;font-family:&amp;quot;Segoe UI&amp;quot;, sans-serif;display:inline !important;&quot;&gt;&lt;/span&gt;&lt;span style=&quot;font-family:&amp;quot;Segoe UI&amp;quot;, sans-serif;display:inline !important;&quot;&gt;Users who rely on keyboard and low vision users are finding it difficult as&amp;nbsp;Keyboard focus loss is observed after invoking 'Azure Landing Zones' button while navigating using tab key&lt;/span&gt;&lt;span style=&quot;box-sizing:border-box;font-family:&amp;quot;Segoe UI&amp;quot;, sans-serif;display:inline !important;&quot;&gt;&lt;/span&gt;&lt;div style=&quot;box-sizing:border-box;font-weight:400;&quot;&gt;&lt;br style=&quot;box-sizing:border-box;&quot;&gt; &lt;/div&gt;&lt;div style=&quot;box-sizing:border-box;font-weight:400;&quot;&gt;&lt;div style=&quot;box-sizing:border-box;&quot;&gt; &lt;/div&gt;&lt;div style=&quot;box-sizing:border-box;&quot;&gt;&lt;b style=&quot;box-sizing:border-box;font-family:&amp;quot;Segoe UI&amp;quot;, sans-serif;&quot;&gt;Test Environment:&lt;/b&gt;&lt;br style=&quot;box-sizing:border-box;&quot;&gt; &lt;/div&gt;&lt;div style=&quot;box-sizing:border-box;&quot;&gt; &lt;/div&gt; &lt;/div&gt;&lt;div style=&quot;box-sizing:border-box;font-weight:400;&quot;&gt; &lt;/div&gt;&lt;div style=&quot;box-sizing:border-box;font-weight:400;&quot;&gt; &lt;/div&gt;&lt;div style=&quot;box-sizing:border-box;font-weight:400;&quot;&gt; &lt;/div&gt;&lt;div style=&quot;box-sizing:border-box;font-weight:400;&quot;&gt; &lt;/div&gt;&lt;p style=&quot;box-sizing:border-box;font-weight:400;margin:0in;&quot;&gt; &lt;/p&gt;&lt;span style=&quot;box-sizing:border-box;font-weight:400;&quot;&gt;&lt;/span&gt;&lt;span style=&quot;box-sizing:border-box;font-weight:400;&quot;&gt;&lt;/span&gt;&lt;span style=&quot;box-sizing:border-box;font-weight:400;&quot;&gt;OS: Windows 11 [Version 21H2 (OS Build 22000.675)]&lt;br style=&quot;box-sizing:border-box;&quot;&gt;&lt;/span&gt;&lt;div style=&quot;box-sizing:border-box;font-weight:400;&quot;&gt;Browser: Edge Chromium (102.0.1245.30), Chrome (102.0.5005.63) &lt;/div&gt;&lt;div style=&quot;box-sizing:border-box;font-weight:400;&quot;&gt;&lt;span style=&quot;box-sizing:border-box;&quot;&gt;URL:&amp;nbsp;&lt;a title=&quot;https://apps.preview.powerapps.com/play/347399e1-18ec-4002-aa22-c0285a367aaf?tenantId=72f988bf-86f1-41af-91ab-2d7cd011db47&quot; href=&quot;https://apps.preview.powerapps.com/play/347399e1-18ec-4002-aa22-c0285a367aaf?tenantId=72f988bf-86f1-41af-91ab-2d7cd011db47&quot; rel=&quot;noopener noreferrer&quot; target=_blank tabindex=-1 style=&quot;box-sizing:border-box;color:rgb(79, 82, 178);text-decoration:underline;font-family:-apple-system, BlinkMacSystemFont, &amp;quot;Segoe UI&amp;quot;, system-ui, &amp;quot;Apple Color Emoji&amp;quot;, &amp;quot;Segoe UI Emoji&amp;quot;, &amp;quot;Segoe UI Web&amp;quot;, sans-serif;font-size:14.6667px;&quot;&gt;https://apps.preview.powerapps.com/play/&lt;/a&gt;&lt;/span&gt;&lt;br style=&quot;box-sizing:border-box;&quot;&gt; &lt;/div&gt;&lt;span style=&quot;box-sizing:border-box;font-weight:400;&quot;&gt;&lt;/span&gt;&lt;div style=&quot;box-sizing:border-box;font-weight:400;&quot;&gt; &lt;/div&gt;&lt;div style=&quot;box-sizing:border-box;font-weight:400;&quot;&gt; &lt;/div&gt;&lt;div style=&quot;box-sizing:border-box;font-weight:400;&quot;&gt;&lt;br&gt; &lt;/div&gt;&lt;div style=&quot;box-sizing:border-box;font-weight:400;&quot;&gt; &lt;/div&gt;&lt;div style=&quot;box-sizing:border-box;font-weight:400;&quot;&gt;&lt;p style=&quot;box-sizing:border-box;margin:0in;&quot;&gt;&lt;b style=&quot;box-sizing:border-box;&quot;&gt;Repro Steps:&lt;/b&gt;&lt;br style=&quot;box-sizing:border-box;&quot;&gt; &lt;/p&gt; &lt;/div&gt;&lt;div style=&quot;box-sizing:border-box;font-weight:400;&quot;&gt;&lt;div style=&quot;box-sizing:border-box;&quot;&gt;&lt;div style=&quot;box-sizing:border-box;&quot;&gt;&lt;div style=&quot;box-sizing:border-box;&quot;&gt;&lt;span style=&quot;box-sizing:border-box;&quot;&gt;&lt;div style=&quot;box-sizing:border-box;&quot;&gt; &lt;/div&gt;&lt;div style=&quot;box-sizing:border-box;&quot;&gt; &lt;/div&gt;&lt;div style=&quot;box-sizing:border-box;&quot;&gt; &lt;/div&gt;&lt;div style=&quot;box-sizing:border-box;&quot;&gt;Step 1:&lt;span style=&quot;box-sizing:border-box;&quot;&gt;&amp;nbsp;&lt;/span&gt;&lt;span style=&quot;box-sizing:border-box;color:rgb(36, 36, 36);font-family:-apple-system, BlinkMacSystemFont, &amp;quot;Segoe UI&amp;quot;, &amp;quot;Apple Color Emoji&amp;quot;, &amp;quot;Segoe UI Emoji&amp;quot;, &amp;quot;Segoe UI Web&amp;quot;, sans-serif;display:inline !important;&quot;&gt;Open the above URL in Edge Chromium Browser or chrome browser.&lt;/span&gt;&lt;span style=&quot;box-sizing:border-box;display:inline !important;&quot;&gt;&lt;/span&gt; &lt;/div&gt;&lt;/span&gt; &lt;/div&gt; &lt;/div&gt; &lt;/div&gt; &lt;/div&gt;&lt;div style=&quot;box-sizing:border-box;font-weight:400;&quot;&gt;Step 2: 'Onboarding App - Content Page - Power Apps' page will appear.&amp;nbsp; &lt;/div&gt;&lt;div&gt;&lt;div&gt;Step 3: Navigate on the CSA Role basics activate it-&amp;gt;Navigate on the 'Microsoft Cloud Adoption Framework (CAF) for Azure' button and&amp;nbsp;&lt;span style=&quot;display:inline !important;&quot;&gt;activate it.&lt;/span&gt; &lt;/div&gt; &lt;/div&gt;&lt;div&gt;&lt;span style=&quot;display:inline !important;&quot;&gt;&lt;span style=&quot;display:inline !important;&quot;&gt;Step 4:&lt;/span&gt;&amp;nbsp;&lt;span style=&quot;display:inline !important;&quot;&gt;Microsoft Cloud Adoption Framework (CAF) for Azure' dialog will appear.&lt;/span&gt;&lt;/span&gt; &lt;/div&gt;&lt;div style=&quot;box-sizing:border-box;font-weight:400;&quot;&gt;&lt;div style=&quot;box-sizing:border-box;&quot;&gt;&lt;div style=&quot;box-sizing:border-box;&quot;&gt;&lt;div style=&quot;box-sizing:border-box;&quot;&gt;&lt;span style=&quot;box-sizing:border-box;&quot;&gt;&lt;div style=&quot;box-sizing:border-box;&quot;&gt;&lt;span style=&quot;box-sizing:border-box;&quot;&gt;&lt;span style=&quot;box-sizing:border-box;&quot;&gt;Step 5:&lt;span style=&quot;box-sizing:border-box;&quot;&gt;&amp;nbsp;Verify whether Keyboard&lt;/span&gt;&lt;/span&gt;&amp;nbsp;focus loss is observed after invoking 'Azure Landing Zones' button while navigating using tab key.&amp;nbsp;or not.&lt;br style=&quot;box-sizing:border-box;&quot;&gt;&lt;/span&gt; &lt;/div&gt;&lt;div style=&quot;box-sizing:border-box;&quot;&gt;&lt;span style=&quot;box-sizing:border-box;&quot;&gt;&lt;/span&gt; &lt;/div&gt;&lt;div style=&quot;box-sizing:border-box;&quot;&gt;&lt;span style=&quot;box-sizing:border-box;&quot;&gt;&lt;/span&gt; &lt;/div&gt;&lt;div style=&quot;box-sizing:border-box;&quot;&gt;&lt;span style=&quot;box-sizing:border-box;&quot;&gt;&lt;span style=&quot;box-sizing:border-box;font-family:Calibri, sans-serif;font-size:14.6667px;display:inline !important;&quot;&gt;&lt;span style=&quot;box-sizing:border-box;font-size:14px;display:inline !important;&quot;&gt;&lt;br style=&quot;box-sizing:border-box;&quot;&gt;&lt;/span&gt;&lt;/span&gt;&lt;/span&gt; &lt;/div&gt;&lt;/span&gt; &lt;/div&gt; &lt;/div&gt; &lt;/div&gt; &lt;/div&gt;&lt;div style=&quot;box-sizing:border-box;font-weight:400;&quot;&gt;&lt;div style=&quot;box-sizing:border-box;&quot;&gt;&lt;div style=&quot;box-sizing:border-box;&quot;&gt;&lt;b style=&quot;box-sizing:border-box;&quot;&gt;&lt;/b&gt; &lt;/div&gt; &lt;/div&gt; &lt;/div&gt;&lt;div style=&quot;box-sizing:border-box;font-weight:400;&quot;&gt;&lt;div style=&quot;box-sizing:border-box;&quot;&gt;&lt;div style=&quot;box-sizing:border-box;&quot;&gt;&lt;b style=&quot;box-sizing:border-box;&quot;&gt;Actual Result:&lt;/b&gt; &lt;/div&gt;&lt;div style=&quot;box-sizing:border-box;&quot;&gt;&lt;span&gt;&amp;nbsp;Keyboard focus loss is observed after invoking 'Azure Landing Zones' button while navigating using tab key&lt;/span&gt; &lt;/div&gt; &lt;/div&gt; &lt;/div&gt;&lt;div style=&quot;box-sizing:border-box;&quot;&gt;&lt;div style=&quot;box-sizing:border-box;&quot;&gt;&lt;b style=&quot;box-sizing:border-box;&quot;&gt;Observation:&amp;nbsp;&lt;/b&gt;&lt;span style=&quot;box-sizing:border-box;display:inline !important;&quot;&gt;after invoking &lt;span style=&quot;display:inline !important;&quot;&gt;'Azure Landing Zones' button&lt;/span&gt;&lt;/span&gt;&lt;span style=&quot;display:inline !important;&quot;&gt;&lt;span&gt;&amp;nbsp;&lt;/span&gt;keyboard focus is moving to header control.&lt;/span&gt;&lt;br&gt; &lt;/div&gt;&lt;div style=&quot;box-sizing:border-box;&quot;&gt;&lt;span style=&quot;display:inline !important;&quot;&gt;&lt;br&gt;&lt;/span&gt; &lt;/div&gt; &lt;/div&gt;&lt;div style=&quot;box-sizing:border-box;font-weight:400;&quot;&gt;&lt;div style=&quot;box-sizing:border-box;&quot;&gt; &lt;/div&gt;&lt;div style=&quot;box-sizing:border-box;&quot;&gt;&lt;b style=&quot;box-sizing:border-box;&quot;&gt;Expected Result:&lt;br style=&quot;box-sizing:border-box;&quot;&gt;&lt;/b&gt;&lt;div style=&quot;box-sizing:border-box;&quot;&gt;&lt;div style=&quot;box-sizing:border-box;&quot;&gt; &lt;/div&gt; &lt;/div&gt;&lt;div style=&quot;box-sizing:border-box;&quot;&gt;&lt;div style=&quot;box-sizing:border-box;&quot;&gt;&lt;div style=&quot;box-sizing:border-box;&quot;&gt;&lt;span style=&quot;box-sizing:border-box;&quot;&gt;&amp;nbsp;Keyboard focus should not loss is observed after invoking 'Azure Landing Zones' button while navigating using tab key&lt;/span&gt; &lt;/div&gt;&lt;div style=&quot;box-sizing:border-box;&quot;&gt;&lt;span style=&quot;box-sizing:border-box;&quot;&gt;&lt;br&gt;&lt;/span&gt; &lt;/div&gt; &lt;/div&gt; &lt;/div&gt;&lt;div style=&quot;box-sizing:border-box;&quot;&gt;&lt;span style=&quot;box-sizing:border-box;display:inline !important;&quot;&gt;&lt;b style=&quot;box-sizing:border-box;&quot;&gt;Ex:&lt;/b&gt;&amp;nbsp;&lt;/span&gt;&lt;span style=&quot;box-sizing:border-box;display:inline !important;&quot;&gt;After invoking the&lt;span style=&quot;display:inline !important;&quot;&gt;&lt;span&gt;&amp;nbsp;&lt;/span&gt;'Azure Landing Zones' button&lt;/span&gt; keyboard focus&amp;nbsp;&lt;/span&gt;&lt;span style=&quot;box-sizing:border-box;display:inline !important;&quot;&gt;should land on First interactive element.&lt;/span&gt;&lt;br&gt; &lt;/div&gt;&lt;div style=&quot;box-sizing:border-box;&quot;&gt;&lt;span style=&quot;box-sizing:border-box;display:inline !important;&quot;&gt;&lt;br&gt;&lt;/span&gt; &lt;/div&gt; &lt;/div&gt; &lt;/div&gt;&lt;div style=&quot;box-sizing:border-box;font-weight:400;&quot;&gt;&lt;div style=&quot;box-sizing:border-box;&quot;&gt;&lt;div style=&quot;box-sizing:border-box;&quot;&gt;&lt;div style=&quot;box-sizing:border-box;&quot;&gt;&lt;span style=&quot;box-sizing:border-box;font-weight:bold;&quot;&gt;&lt;div style=&quot;box-sizing:border-box;font-weight:400;&quot;&gt;&lt;div style=&quot;box-sizing:border-box;&quot;&gt;&lt;b style=&quot;box-sizing:border-box;&quot;&gt;&lt;/b&gt; &lt;/div&gt;&lt;div style=&quot;box-sizing:border-box;&quot;&gt;&lt;div style=&quot;box-sizing:border-box;font-family:&amp;quot;Segoe UI&amp;quot;, system-ui, &amp;quot;Apple Color Emoji&amp;quot;, &amp;quot;Segoe UI Emoji&amp;quot;, sans-serif;margin:0px 0in;&quot;&gt;&lt;span style=&quot;box-sizing:border-box;&quot;&gt;&lt;b style=&quot;box-sizing:border-box;&quot;&gt;MAS Reference:&lt;/b&gt;&lt;/span&gt; &lt;/div&gt;&lt;div style=&quot;box-sizing:border-box;font-family:&amp;quot;Segoe UI&amp;quot;, system-ui, &amp;quot;Apple Color Emoji&amp;quot;, &amp;quot;Segoe UI Emoji&amp;quot;, sans-serif;margin:0px 0in;&quot;&gt;&lt;span style=&quot;box-sizing:border-box;&quot;&gt;&lt;div style=&quot;box-sizing:border-box;&quot;&gt;&lt;a href=&quot;https://microsoft.sharepoint.com/teams/msenable/_layouts/15/WopiFrame.aspx?sourcedoc=%7b0de7fbe1-ad7e-48e5-bcbb-8d986691e2b9%7d&quot; style=&quot;box-sizing:border-box;text-decoration:underline;&quot;&gt;MAS 2.4.3 - Focus Order&lt;/a&gt; &lt;/div&gt;&lt;div style=&quot;box-sizing:border-box;&quot;&gt;&lt;br style=&quot;box-sizing:border-box;&quot;&gt; &lt;/div&gt;&lt;div style=&quot;box-sizing:border-box;&quot;&gt;&lt;b style=&quot;box-sizing:border-box;&quot;&gt;WCAG Reference:&lt;/b&gt; &lt;/div&gt;&lt;div style=&quot;box-sizing:border-box;&quot;&gt;&lt;a href=&quot;https://www.w3.org/WAI/WCAG21/Understanding/focus-order&quot; style=&quot;box-sizing:border-box;text-decoration:underline;&quot;&gt;https://www.w3.org/WAI/WCAG21/Understanding/focus-order&lt;/a&gt; &lt;/div&gt;&lt;/span&gt; &lt;/div&gt;&lt;a href=&quot;https://www.w3.org/WAI/WCAG21/Understanding/reflow.html&quot; style=&quot;box-sizing:border-box;text-decoration:underline;cursor:pointer;font-family:&amp;quot;Segoe UI&amp;quot;, system-ui, &amp;quot;Apple Color Emoji&amp;quot;, &amp;quot;Segoe UI Emoji&amp;quot;, sans-serif;&quot;&gt;&lt;/a&gt; &lt;/div&gt; &lt;/div&gt;&lt;/span&gt; &lt;/div&gt; &lt;/div&gt; &lt;/div&gt; &lt;/div&gt;"/>
    <s v="No"/>
    <x v="2"/>
    <s v="Enrique Monsalve "/>
  </r>
  <r>
    <n v="1517602"/>
    <s v="Bug"/>
    <s v="[Keyboard Navigation - OLP Power Apps - Content page]: Keyboard focus indicator is overlying on controls present inside the filter control. "/>
    <s v="New"/>
    <s v="Enrique Monsalve &lt;v-monsalvee@microsoft.com&gt;"/>
    <s v="No revisado"/>
    <s v="Mauricio"/>
    <s v="Completado"/>
    <s v="A11y-1STPARTY; A11yMAS; A11yMASP3; CommonBrowsers; HCL; HCL_OLP - MayJune FY22 New Update; MAS 2.4.7; NewBaselineAssessment; RecID_8303"/>
    <m/>
    <x v="2"/>
    <s v="&lt;div style=&quot;box-sizing:border-box;&quot;&gt;&lt;b&gt;&lt;/b&gt; &lt;/div&gt;&lt;div&gt;&lt;b&gt;PWD Impact:&amp;nbsp;&lt;/b&gt;&lt;br style=&quot;box-sizing:border-box;&quot;&gt; &lt;/div&gt;&lt;div&gt; &lt;/div&gt;&lt;div&gt; &lt;/div&gt;&lt;div&gt;Users who depend on the keyboard for navigation will be impacted if keyboard focus indicator is overlying on controls&amp;nbsp;present inside the filter control. so that users will be unable to see all the information, so that they will miss the desired task.&lt;br&gt; &lt;/div&gt;&lt;div&gt; &lt;/div&gt;&lt;div&gt;&lt;br style=&quot;box-sizing:border-box;&quot;&gt; &lt;/div&gt;&lt;div&gt; &lt;/div&gt;&lt;div&gt; &lt;/div&gt;&lt;div&gt;&lt;b&gt;Test Environment:&lt;/b&gt;&lt;br style=&quot;box-sizing:border-box;&quot;&gt; &lt;/div&gt;&lt;div&gt; &lt;/div&gt;&lt;div&gt; &lt;/div&gt;&lt;div&gt; &lt;/div&gt;&lt;div&gt; &lt;/div&gt;&lt;div&gt; &lt;/div&gt;&lt;div&gt; &lt;/div&gt;&lt;div&gt; &lt;/div&gt;&lt;div&gt; &lt;/div&gt;&lt;div&gt;OS: Windows 11 [Version 21H2 (OS Build 22000.675)]&lt;br style=&quot;box-sizing:border-box;&quot;&gt; &lt;/div&gt;&lt;div&gt;Browser: Edge Chromium (102.0.1245.30), Chrome (102.0.5005.63) &lt;/div&gt;&lt;div&gt;URL:&amp;nbsp;&lt;a href=&quot;https://apps.preview.powerapps.com/play/e/aa1775d6-89ae-47fb-b2cd-ebeb56163da6/a/347399e1-18ec-4002-aa22-c0285a367aaf?tenantId=72f988bf-86f1-41af-91ab-2d7cd011db47&quot;&gt;Onboarding App - Content - Power Apps&lt;/a&gt;&lt;br style=&quot;box-sizing:border-box;&quot;&gt; &lt;/div&gt;&lt;div&gt; &lt;/div&gt;&lt;div&gt; &lt;/div&gt;&lt;div&gt; &lt;/div&gt;&lt;div&gt; &lt;/div&gt;&lt;div&gt;&lt;br&gt; &lt;/div&gt;&lt;div&gt; &lt;/div&gt;&lt;div&gt; &lt;/div&gt;&lt;div&gt;&lt;b&gt;Repro Steps:&lt;/b&gt;&lt;br style=&quot;box-sizing:border-box;&quot;&gt; &lt;/div&gt;&lt;div&gt; &lt;/div&gt;&lt;div&gt; &lt;/div&gt;&lt;div&gt;&lt;div&gt; &lt;/div&gt;&lt;div&gt; &lt;/div&gt;&lt;div&gt; &lt;/div&gt;&lt;div&gt;Step 1:&amp;nbsp;Open the above URL in Edge Chromium Browser or chrome browser. &lt;/div&gt; &lt;/div&gt;&lt;div&gt; &lt;/div&gt;&lt;div&gt; &lt;/div&gt;&lt;div&gt; &lt;/div&gt;&lt;div&gt; &lt;/div&gt;&lt;div&gt;Step 2: 'Onboarding App - Content Page - Power Apps' page will appear.&amp;nbsp; &lt;/div&gt;&lt;div&gt;Step 3: Navigate to the 'filter' control and activate it. &lt;/div&gt;&lt;div&gt; &lt;/div&gt;&lt;div&gt;Step 4:&amp;nbsp;Verify whether keyboard focus indicator is overlying on controls present inside the filter control or not. &lt;br&gt; &lt;/div&gt;&lt;div&gt;&lt;div&gt; &lt;/div&gt;&lt;div&gt; &lt;/div&gt;&lt;div&gt; &lt;/div&gt;&lt;div&gt;&lt;br style=&quot;box-sizing:border-box;&quot;&gt; &lt;/div&gt;&lt;div&gt; &lt;/div&gt; &lt;/div&gt;&lt;div&gt; &lt;/div&gt;&lt;div&gt; &lt;/div&gt;&lt;div&gt; &lt;/div&gt;&lt;div&gt; &lt;/div&gt;&lt;div&gt; &lt;/div&gt;&lt;div&gt; &lt;/div&gt;&lt;div&gt; &lt;/div&gt;&lt;div&gt;&lt;b&gt;Actual Result:&lt;/b&gt; &lt;/div&gt;&lt;div&gt;Keyboard focus indicator is overlying on controls present inside the filter control while navigating using keyboard tab key. &lt;br&gt; &lt;/div&gt;&lt;div&gt; &lt;/div&gt;&lt;div&gt; &lt;/div&gt;&lt;div&gt;&lt;b&gt;Observation:&lt;/b&gt; Keyboard focus indicator is overlying with letter 'A' in add modality and add duration.&lt;br&gt; &lt;/div&gt;&lt;div&gt; &lt;/div&gt;&lt;div&gt;&lt;br&gt; &lt;/div&gt;&lt;div&gt; &lt;/div&gt;&lt;div&gt; &lt;/div&gt;&lt;div&gt; &lt;/div&gt;&lt;div&gt;&lt;b&gt;Expected Result:&lt;/b&gt;&lt;br style=&quot;box-sizing:border-box;&quot;&gt; &lt;/div&gt;&lt;div&gt; &lt;/div&gt;&lt;div&gt; &lt;/div&gt;&lt;div&gt;Keyboard focus indicator should not overly on controls present inside the filter control while navigating using keyboard tab key.&lt;br&gt; &lt;/div&gt;&lt;div&gt;Ex:&amp;nbsp;Keyboard focus should be visible clearly on four sides without overlying on text.&lt;br&gt; &lt;/div&gt;&lt;div&gt;&lt;br&gt; &lt;/div&gt;&lt;div&gt; &lt;/div&gt;&lt;div&gt; &lt;/div&gt;&lt;div&gt; &lt;/div&gt;&lt;div&gt;&lt;div&gt; &lt;/div&gt;&lt;div&gt;&lt;b&gt;MAS Reference link:&lt;/b&gt;&lt;br style=&quot;box-sizing:border-box;&quot;&gt; &lt;/div&gt;&lt;div&gt;&lt;a href=&quot;https://aka.ms/MAS2.4.7&quot;&gt;MAS 2.4.7 – Focus Visible&lt;/a&gt;&lt;br style=&quot;box-sizing:border-box;&quot;&gt; &lt;/div&gt;&lt;div&gt;&lt;br style=&quot;box-sizing:border-box;&quot;&gt; &lt;/div&gt;&lt;div&gt;&lt;b&gt;WCAG Reference link:&lt;/b&gt;&lt;br style=&quot;box-sizing:border-box;&quot;&gt; &lt;/div&gt;&lt;div&gt;&lt;a href=&quot;https://www.w3.org/WAI/WCAG21/Understanding/focus-visible.html&quot;&gt;https://www.w3.org/WAI/WCAG21/Understanding/focus-visible.html&lt;/a&gt;&lt;br&gt; &lt;/div&gt; &lt;/div&gt;&lt;div style=&quot;box-sizing:border-box;font-weight:400;&quot;&gt;&lt;div style=&quot;box-sizing:border-box;&quot;&gt;&lt;div style=&quot;box-sizing:border-box;&quot;&gt;&lt;div style=&quot;box-sizing:border-box;&quot;&gt;&lt;span style=&quot;box-sizing:border-box;font-weight:bold;&quot;&gt;&lt;div style=&quot;box-sizing:border-box;font-weight:400;&quot;&gt;&lt;div style=&quot;box-sizing:border-box;&quot;&gt;&lt;div style=&quot;box-sizing:border-box;font-family:&amp;quot;Segoe UI&amp;quot;, system-ui, &amp;quot;Apple Color Emoji&amp;quot;, &amp;quot;Segoe UI Emoji&amp;quot;, sans-serif;margin:0px 0in;&quot;&gt; &lt;/div&gt;&lt;a href=&quot;https://www.w3.org/WAI/WCAG21/Understanding/reflow.html&quot; style=&quot;box-sizing:border-box;text-decoration:underline;cursor:pointer;font-family:&amp;quot;Segoe UI&amp;quot;, system-ui, &amp;quot;Apple Color Emoji&amp;quot;, &amp;quot;Segoe UI Emoji&amp;quot;, sans-serif;&quot;&gt;&lt;/a&gt; &lt;/div&gt; &lt;/div&gt;&lt;/span&gt; &lt;/div&gt; &lt;/div&gt; &lt;/div&gt; &lt;/div&gt;"/>
    <s v="Si"/>
    <x v="0"/>
    <s v="Enrique Monsalve "/>
  </r>
  <r>
    <n v="1517603"/>
    <s v="Bug"/>
    <s v="[Visual Requirements - OLP Power Apps - Content page]: Luminosity contrast ratio of focus indicator for 'apply' and 'clear all' buttons is 2.1:1 which is less than 3:1."/>
    <s v="New"/>
    <s v="Enrique Monsalve &lt;v-monsalvee@microsoft.com&gt;"/>
    <s v="Si"/>
    <s v="Mauricio"/>
    <s v="Completado"/>
    <s v="A11y-1STPARTY; A11yAuto; A11yMAS; A11yMASP3; CommonBrowsers; HCL; HCL_OLP - MayJune FY22 New Update; K4W; MAS 1.4.11; NewBaselineAssessment; RecID_8303"/>
    <s v="Para este bug se debe trabajar con el Software Colour Contrast Analyser. Link para descargar software: https://www.tpgi.com/color-contrast-checker/"/>
    <x v="0"/>
    <s v="&lt;div style=&quot;box-sizing:border-box;&quot;&gt;&lt;b&gt;&lt;/b&gt; &lt;/div&gt;&lt;div&gt;&lt;b&gt;PWD Impact:&amp;nbsp;&lt;/b&gt;&lt;br style=&quot;box-sizing:border-box;&quot;&gt; &lt;/div&gt;&lt;div&gt; &lt;/div&gt;&lt;div&gt; &lt;/div&gt;&lt;div&gt;&lt;div style=&quot;box-sizing:border-box;font-family:&amp;quot;Segoe UI&amp;quot;, sans-serif;&quot;&gt;&lt;span style=&quot;box-sizing:border-box;display:inline !important;&quot;&gt;&lt;span style=&quot;box-sizing:border-box;display:inline !important;&quot;&gt;Users who have color vision deficiency will find it difficult to see as&amp;nbsp;Luminosity contrast ratio of focus indicator for Close button is 2.1:1 which is less than 3:1. U&lt;span style=&quot;box-sizing:border-box;display:inline !important;&quot;&gt;sers with low vision disabilities might be unable to read/see the control.&lt;/span&gt;&lt;/span&gt;&lt;/span&gt;&lt;div style=&quot;box-sizing:border-box;&quot;&gt; &lt;/div&gt; &lt;/div&gt;&lt;br&gt;&lt;b&gt;Test Environment:&lt;/b&gt;&lt;br&gt; &lt;/div&gt;&lt;div&gt; &lt;/div&gt;&lt;div&gt; &lt;/div&gt;&lt;div&gt; &lt;/div&gt;&lt;div&gt; &lt;/div&gt;&lt;div&gt; &lt;/div&gt;&lt;div&gt; &lt;/div&gt;&lt;div&gt; &lt;/div&gt;&lt;div&gt; &lt;/div&gt;&lt;div&gt;OS: Windows 11 [Version 21H2 (OS Build 22000.675)]&lt;br style=&quot;box-sizing:border-box;&quot;&gt; &lt;/div&gt;&lt;div&gt;Browser: Edge Chromium (102.0.1245.30), Chrome (102.0.5005.63) &lt;/div&gt;&lt;div&gt;&lt;span style=&quot;font-family:&amp;quot;Segoe UI&amp;quot;, sans-serif;display:inline !important;&quot;&gt;Tool: Color Contrast Analyzer Tool&lt;/span&gt;&lt;br&gt; &lt;/div&gt;&lt;div&gt;URL:&amp;nbsp;&lt;a href=&quot;https://apps.preview.powerapps.com/play/e/aa1775d6-89ae-47fb-b2cd-ebeb56163da6/a/347399e1-18ec-4002-aa22-c0285a367aaf?tenantId=72f988bf-86f1-41af-91ab-2d7cd011db47&quot;&gt;Onboarding App - Content - Power Apps&lt;/a&gt;&lt;br style=&quot;box-sizing:border-box;&quot;&gt; &lt;/div&gt;&lt;div&gt; &lt;/div&gt;&lt;div&gt; &lt;/div&gt;&lt;div&gt; &lt;/div&gt;&lt;div&gt; &lt;/div&gt;&lt;div&gt;&lt;br&gt; &lt;/div&gt;&lt;div&gt; &lt;/div&gt;&lt;div&gt; &lt;/div&gt;&lt;div&gt;&lt;b&gt;Repro Steps:&lt;/b&gt;&lt;br style=&quot;box-sizing:border-box;&quot;&gt; &lt;/div&gt;&lt;div&gt; &lt;/div&gt;&lt;div&gt; &lt;/div&gt;&lt;div&gt;&lt;div&gt; &lt;/div&gt;&lt;div&gt; &lt;/div&gt;&lt;div&gt; &lt;/div&gt;&lt;div&gt;Step 1:&amp;nbsp;Open the above URL in Edge Chromium Browser or chrome browser. &lt;/div&gt; &lt;/div&gt;&lt;div&gt; &lt;/div&gt;&lt;div&gt; &lt;/div&gt;&lt;div&gt; &lt;/div&gt;&lt;div&gt; &lt;/div&gt;&lt;div&gt;Step 2: 'Onboarding App - Content Page - Power Apps' page will appear.&amp;nbsp; &lt;/div&gt;&lt;div&gt;Step 3: Navigate to the 'filter' control and activate it. &lt;/div&gt;&lt;div&gt; &lt;/div&gt;&lt;div&gt;Step 4:&amp;nbsp;&lt;span style=&quot;display:inline !important;&quot;&gt;V&lt;/span&gt;&lt;span style=&quot;box-sizing:border-box;display:inline !important;&quot;&gt;erify whether minimum luminosity contrast ratio of focus indicator for 'apply' and 'clear all' button is 3:1 or not.&lt;/span&gt;&amp;nbsp;&lt;br&gt; &lt;/div&gt;&lt;div&gt;&lt;div&gt; &lt;/div&gt;&lt;div&gt; &lt;/div&gt;&lt;div&gt; &lt;/div&gt;&lt;div&gt;&lt;br style=&quot;box-sizing:border-box;&quot;&gt; &lt;/div&gt;&lt;div&gt; &lt;/div&gt; &lt;/div&gt;&lt;div&gt; &lt;/div&gt;&lt;div&gt; &lt;/div&gt;&lt;div&gt; &lt;/div&gt;&lt;div&gt; &lt;/div&gt;&lt;div&gt; &lt;/div&gt;&lt;div&gt; &lt;/div&gt;&lt;div&gt; &lt;/div&gt;&lt;div&gt;&lt;b&gt;Actual Result:&lt;/b&gt; &lt;/div&gt;&lt;div&gt;Luminosity contrast ratio of focus indicator for 'apply' and 'clear all' buttons is 2.1:1 which is less than 3:1. &lt;/div&gt;&lt;div&gt;&lt;b&gt;Other instances: &lt;/b&gt;Same issue is observed with 'Add modality' and 'Add duration' control. &lt;/div&gt;&lt;div&gt; &lt;/div&gt;&lt;div&gt;Refer Attachment: MAS 1.4.11-add modality and add duration &lt;/div&gt;&lt;div&gt;&lt;br&gt; &lt;/div&gt;&lt;div&gt; &lt;/div&gt;&lt;div&gt; &lt;/div&gt;&lt;div&gt; &lt;/div&gt;&lt;div&gt;&lt;b&gt;Expected Result:&lt;/b&gt;&lt;br style=&quot;box-sizing:border-box;&quot;&gt; &lt;/div&gt;&lt;div&gt; &lt;/div&gt;&lt;div&gt; &lt;/div&gt;&lt;div&gt;&lt;span style=&quot;display:inline !important;&quot;&gt;Luminosity contrast ratio of focus indicator for 'apply' and 'clear all' buttons should be greater than 3:1.&lt;/span&gt;&lt;br&gt; &lt;/div&gt;&lt;div&gt;&lt;br&gt; &lt;/div&gt;&lt;div&gt;&lt;b&gt;&lt;/b&gt; &lt;/div&gt;&lt;div style=&quot;box-sizing:border-box;font-family:&amp;quot;Segoe UI&amp;quot;, sans-serif;font-weight:400;&quot;&gt;&lt;b style=&quot;box-sizing:border-box;&quot;&gt;MAS Reference:&lt;/b&gt; &lt;/div&gt;&lt;div style=&quot;box-sizing:border-box;font-family:&amp;quot;Segoe UI&amp;quot;, sans-serif;font-weight:400;text-decoration:underline;&quot;&gt;&lt;a href=&quot;https://nam06.safelinks.protection.outlook.com/ap/w-59584e83/?url=https://microsoft.sharepoint.com/:w:/r/teams/msenable/_layouts/15/Doc.aspx?sourcedoc%3D%257b6CA3BF14-2635-434A-832C-28DD9A18B9FC%257d%26file%3DMAS%25201.4.11%2520%25E2%2580%2593%2520Non-text%2520Contrast.docx%26action%3Ddefault%26mobileredirect%3Dtrue&amp;amp;data=02%7c01%7cv-depol%40microsoft.com%7caab90cda4d234bfb5b1c08d75d25d9be%7c72f988bf86f141af91ab2d7cd011db47%7c1%7c0%7c637080290209376132&amp;amp;sdata=DYYk2w4O5tybuMrne3FfwOXl%2Bkry7q4wnL1pCx2%2BIog%3D&amp;amp;reserved=0&quot; style=&quot;box-sizing:border-box;text-decoration:underline;cursor:pointer;&quot;&gt;MAS 1.4.11 - Non-text Contrast&lt;/a&gt;&amp;nbsp;&amp;nbsp; &lt;/div&gt;&lt;div style=&quot;box-sizing:border-box;font-family:&amp;quot;Segoe UI&amp;quot;, sans-serif;font-weight:400;text-decoration:underline;&quot;&gt;&lt;br style=&quot;box-sizing:border-box;&quot;&gt; &lt;/div&gt;&lt;div style=&quot;box-sizing:border-box;font-family:&amp;quot;Segoe UI&amp;quot;, sans-serif;font-weight:400;&quot;&gt;&lt;b style=&quot;box-sizing:border-box;&quot;&gt;WCAG Reference:&lt;/b&gt; &lt;/div&gt;&lt;div style=&quot;box-sizing:border-box;font-family:&amp;quot;Segoe UI&amp;quot;, sans-serif;font-weight:400;text-decoration:underline;&quot;&gt;&lt;a href=&quot;https://www.w3.org/WAI/WCAG21/Understanding/non-text-contrast.html&quot; style=&quot;box-sizing:border-box;text-decoration:underline;cursor:pointer;&quot;&gt;https://www.w3.org/WAI/WCAG21/Understanding/non-text-contrast.html&lt;/a&gt; &lt;/div&gt;&lt;div style=&quot;box-sizing:border-box;font-weight:400;&quot;&gt;&lt;div style=&quot;box-sizing:border-box;&quot;&gt;&lt;div style=&quot;box-sizing:border-box;&quot;&gt;&lt;div style=&quot;box-sizing:border-box;&quot;&gt;&lt;span style=&quot;box-sizing:border-box;font-weight:bold;&quot;&gt;&lt;div style=&quot;box-sizing:border-box;font-weight:400;&quot;&gt;&lt;div style=&quot;box-sizing:border-box;&quot;&gt;&lt;div style=&quot;box-sizing:border-box;font-family:&amp;quot;Segoe UI&amp;quot;, system-ui, &amp;quot;Apple Color Emoji&amp;quot;, &amp;quot;Segoe UI Emoji&amp;quot;, sans-serif;margin:0px 0in;&quot;&gt; &lt;/div&gt;&lt;a href=&quot;https://www.w3.org/WAI/WCAG21/Understanding/reflow.html&quot; style=&quot;box-sizing:border-box;text-decoration:underline;cursor:pointer;font-family:&amp;quot;Segoe UI&amp;quot;, system-ui, &amp;quot;Apple Color Emoji&amp;quot;, &amp;quot;Segoe UI Emoji&amp;quot;, sans-serif;&quot;&gt;&lt;/a&gt; &lt;/div&gt; &lt;/div&gt;&lt;/span&gt; &lt;/div&gt; &lt;/div&gt; &lt;/div&gt; &lt;/div&gt;"/>
    <s v="No"/>
    <x v="1"/>
    <s v="Priyanka Mangla "/>
  </r>
  <r>
    <n v="1517604"/>
    <s v="Bug"/>
    <s v="[Keyboard Navigation - OLP Power Apps - Content page]: Keyboard focus is not moving to controls of filter dropdown when we invoke it."/>
    <s v="New"/>
    <s v="William Pena &lt;v-wpena@microsoft.com&gt;"/>
    <s v="No revisado"/>
    <s v="William"/>
    <s v="Completado"/>
    <s v="A11y-1STPARTY; A11yMAS; A11yMASP3; CommonBrowsers; HCL; HCL_OLP - MayJune FY22 New Update; MAS 2.4.3; NewBaselineAssessment; RecID_8303"/>
    <s v="Accessibility team nos confirmó que es un product related bug."/>
    <x v="0"/>
    <s v="&lt;div style=&quot;box-sizing:border-box;&quot;&gt;&lt;b&gt;&lt;/b&gt; &lt;/div&gt;&lt;div&gt;&lt;b&gt;PWD Impact:&amp;nbsp;&lt;/b&gt;&lt;br style=&quot;box-sizing:border-box;&quot;&gt; &lt;/div&gt;&lt;div&gt; &lt;/div&gt;&lt;div&gt; &lt;/div&gt;&lt;div&gt;&lt;div style=&quot;box-sizing:border-box;font-family:&amp;quot;Segoe UI&amp;quot;, sans-serif;&quot;&gt;&lt;span style=&quot;box-sizing:border-box;&quot;&gt;&lt;span style=&quot;box-sizing:border-box;font-family:&amp;quot;Segoe UI&amp;quot;, sans-serif;display:inline !important;&quot;&gt;Visually challenged&lt;span style=&quot;box-sizing:border-box;&quot;&gt;&amp;nbsp;&lt;/span&gt;&lt;/span&gt;Users who rely on keyboard are getting impacted as keyboard tab focus is not moving to controls of filter dropdown when we invoke it which are present in the page while navigating using 'tab'/ 'shift tab' key.&amp;nbsp;&lt;/span&gt;&lt;span style=&quot;box-sizing:border-box;font-family:&amp;quot;Segoe UI&amp;quot;, sans-serif;&quot;&gt;Due&lt;/span&gt;&lt;span style=&quot;box-sizing:border-box;font-family:&amp;quot;Segoe UI&amp;quot;, system-ui, &amp;quot;Apple Color Emoji&amp;quot;, &amp;quot;Segoe UI Emoji&amp;quot;, sans-serif;&quot;&gt;&amp;nbsp;to this, users lead to confusion and distortion.&lt;/span&gt;&lt;br&gt;&lt;div style=&quot;box-sizing:border-box;&quot;&gt; &lt;/div&gt; &lt;/div&gt;&lt;br&gt;&lt;b&gt;Test Environment:&lt;/b&gt;&lt;br&gt; &lt;/div&gt;&lt;div&gt; &lt;/div&gt;&lt;div&gt; &lt;/div&gt;&lt;div&gt; &lt;/div&gt;&lt;div&gt; &lt;/div&gt;&lt;div&gt; &lt;/div&gt;&lt;div&gt; &lt;/div&gt;&lt;div&gt; &lt;/div&gt;&lt;div&gt; &lt;/div&gt;&lt;div&gt;OS: Windows 11 [Version 21H2 (OS Build 22000.675)]&lt;br style=&quot;box-sizing:border-box;&quot;&gt; &lt;/div&gt;&lt;div&gt;Browser: Edge Chromium (102.0.1245.30), Chrome (102.0.5005.63) &lt;/div&gt;&lt;div&gt;&lt;span style=&quot;&quot;&gt;URL:&amp;nbsp;&lt;/span&gt;&lt;a href=&quot;https://apps.preview.powerapps.com/play/e/aa1775d6-89ae-47fb-b2cd-ebeb56163da6/a/347399e1-18ec-4002-aa22-c0285a367aaf?tenantId=72f988bf-86f1-41af-91ab-2d7cd011db47&quot; style=&quot;&quot;&gt;Onboarding App - Content - Power Apps&lt;/a&gt;&lt;br&gt; &lt;/div&gt;&lt;div&gt; &lt;/div&gt;&lt;div&gt; &lt;/div&gt;&lt;div&gt; &lt;/div&gt;&lt;div&gt; &lt;/div&gt;&lt;div&gt;&lt;br&gt; &lt;/div&gt;&lt;div&gt; &lt;/div&gt;&lt;div&gt; &lt;/div&gt;&lt;div&gt;&lt;b&gt;Repro Steps:&lt;/b&gt;&lt;br style=&quot;box-sizing:border-box;&quot;&gt; &lt;/div&gt;&lt;div&gt; &lt;/div&gt;&lt;div&gt; &lt;/div&gt;&lt;div&gt;&lt;div&gt; &lt;/div&gt;&lt;div&gt; &lt;/div&gt;&lt;div&gt; &lt;/div&gt;&lt;div&gt;Step 1:&amp;nbsp;Open the above URL in Edge Chromium Browser or chrome browser. &lt;/div&gt; &lt;/div&gt;&lt;div&gt; &lt;/div&gt;&lt;div&gt; &lt;/div&gt;&lt;div&gt; &lt;/div&gt;&lt;div&gt; &lt;/div&gt;&lt;div&gt;Step 2: 'Onboarding App - Content Page - Power Apps' page will appear.&amp;nbsp; &lt;/div&gt;&lt;div&gt;Step 3: Navigate to the 'filter' control and activate it. &lt;/div&gt;&lt;div&gt; &lt;/div&gt;&lt;div&gt;Step 4:&amp;nbsp;&lt;span style=&quot;display:inline !important;&quot;&gt;V&lt;/span&gt;&lt;span style=&quot;box-sizing:border-box;display:inline !important;&quot;&gt;erify whether&amp;nbsp;Keyboard focus is not moving to controls of filter dropdown when we invoke it. or not.&lt;/span&gt;&lt;br&gt; &lt;/div&gt;&lt;div&gt;&lt;div&gt; &lt;/div&gt;&lt;div&gt; &lt;/div&gt;&lt;div&gt; &lt;/div&gt;&lt;div&gt;&lt;br style=&quot;box-sizing:border-box;&quot;&gt; &lt;/div&gt;&lt;div&gt; &lt;/div&gt; &lt;/div&gt;&lt;div&gt; &lt;/div&gt;&lt;div&gt; &lt;/div&gt;&lt;div&gt; &lt;/div&gt;&lt;div&gt; &lt;/div&gt;&lt;div&gt; &lt;/div&gt;&lt;div&gt; &lt;/div&gt;&lt;div&gt; &lt;/div&gt;&lt;div&gt;&lt;b&gt;Actual Result:&lt;/b&gt; &lt;/div&gt;&lt;div&gt;Keyboard focus is not moving to controls of filter dropdown when we invoke it while navigating using keyboard tab key.&lt;br&gt; &lt;/div&gt;&lt;div&gt; &lt;/div&gt;&lt;div&gt; &lt;/div&gt;&lt;div&gt;&lt;b&gt;Observation: &lt;/b&gt;When we invoke 'filter' dropdown focus loss is observed, when we press tab key focus is not moving controls present in filter dropdown instead focus is moving to default control.&amp;nbsp; &lt;/div&gt;&lt;div&gt; &lt;/div&gt;&lt;div&gt;&lt;br&gt; &lt;/div&gt;&lt;div&gt; &lt;/div&gt;&lt;div&gt; &lt;/div&gt;&lt;div&gt; &lt;/div&gt;&lt;div&gt;&lt;b&gt;Expected Result:&lt;/b&gt;&lt;br style=&quot;box-sizing:border-box;&quot;&gt; &lt;/div&gt;&lt;div&gt; &lt;/div&gt;&lt;div&gt; &lt;/div&gt;&lt;div&gt;&lt;span style=&quot;display:inline !important;&quot;&gt;Keyboard focus should move to controls of filter dropdown when we invoke it while navigating using keyboard tab key.&lt;/span&gt;&lt;br&gt; &lt;/div&gt;&lt;div&gt;&lt;span style=&quot;display:inline !important;&quot;&gt;EX: Keyboard focus should move to 'Modality' control when we invoke filter dropdown.&lt;/span&gt; &lt;/div&gt;&lt;div&gt;&lt;br&gt; &lt;/div&gt;&lt;div&gt;&lt;b&gt;&lt;/b&gt; &lt;/div&gt;&lt;div style=&quot;box-sizing:border-box;font-family:&amp;quot;Segoe UI&amp;quot;, sans-serif;font-weight:400;&quot;&gt;&lt;div style=&quot;box-sizing:border-box;font-family:&amp;quot;Segoe UI&amp;quot;, system-ui, &amp;quot;Apple Color Emoji&amp;quot;, &amp;quot;Segoe UI Emoji&amp;quot;, sans-serif;margin:0px 0in;&quot;&gt;&lt;span style=&quot;box-sizing:border-box;&quot;&gt;&lt;b style=&quot;box-sizing:border-box;&quot;&gt;MAS Reference:&lt;/b&gt;&lt;/span&gt; &lt;/div&gt;&lt;div style=&quot;box-sizing:border-box;font-family:&amp;quot;Segoe UI&amp;quot;, system-ui, &amp;quot;Apple Color Emoji&amp;quot;, &amp;quot;Segoe UI Emoji&amp;quot;, sans-serif;margin:0px 0in;&quot;&gt;&lt;span style=&quot;box-sizing:border-box;&quot;&gt;&lt;div style=&quot;box-sizing:border-box;&quot;&gt;&lt;a href=&quot;https://microsoft.sharepoint.com/teams/msenable/_layouts/15/WopiFrame.aspx?sourcedoc=%7b0de7fbe1-ad7e-48e5-bcbb-8d986691e2b9%7d&quot; style=&quot;box-sizing:border-box;text-decoration:underline;cursor:pointer;&quot;&gt;MAS 2.4.3 - Focus Order&lt;/a&gt; &lt;/div&gt;&lt;div style=&quot;box-sizing:border-box;&quot;&gt;&lt;br style=&quot;box-sizing:border-box;&quot;&gt; &lt;/div&gt;&lt;div style=&quot;box-sizing:border-box;&quot;&gt;&lt;b style=&quot;box-sizing:border-box;&quot;&gt;WCAG Reference:&lt;/b&gt; &lt;/div&gt;&lt;div style=&quot;box-sizing:border-box;&quot;&gt;&lt;a href=&quot;https://www.w3.org/WAI/WCAG21/Understanding/focus-order&quot; style=&quot;box-sizing:border-box;text-decoration:underline;cursor:pointer;&quot;&gt;https://www.w3.org/WAI/WCAG21/Understanding/focus-order&lt;/a&gt; &lt;/div&gt;&lt;/span&gt; &lt;/div&gt; &lt;/div&gt;&lt;div style=&quot;box-sizing:border-box;font-weight:400;&quot;&gt;&lt;div style=&quot;box-sizing:border-box;&quot;&gt;&lt;div style=&quot;box-sizing:border-box;&quot;&gt;&lt;div style=&quot;box-sizing:border-box;&quot;&gt;&lt;span style=&quot;box-sizing:border-box;font-weight:bold;&quot;&gt;&lt;div style=&quot;box-sizing:border-box;font-weight:400;&quot;&gt;&lt;div style=&quot;box-sizing:border-box;&quot;&gt;&lt;div style=&quot;box-sizing:border-box;font-family:&amp;quot;Segoe UI&amp;quot;, system-ui, &amp;quot;Apple Color Emoji&amp;quot;, &amp;quot;Segoe UI Emoji&amp;quot;, sans-serif;margin:0px 0in;&quot;&gt; &lt;/div&gt;&lt;a href=&quot;https://www.w3.org/WAI/WCAG21/Understanding/reflow.html&quot; style=&quot;box-sizing:border-box;text-decoration:underline;cursor:pointer;font-family:&amp;quot;Segoe UI&amp;quot;, system-ui, &amp;quot;Apple Color Emoji&amp;quot;, &amp;quot;Segoe UI Emoji&amp;quot;, sans-serif;&quot;&gt;&lt;/a&gt; &lt;/div&gt; &lt;/div&gt;&lt;/span&gt; &lt;/div&gt; &lt;/div&gt; &lt;/div&gt; &lt;/div&gt;"/>
    <s v="No"/>
    <x v="3"/>
    <s v="Priyanka Mangla "/>
  </r>
  <r>
    <n v="1517605"/>
    <s v="Bug"/>
    <s v="[Keyboard Navigation - OLP Power Apps - Content page]: Keyboard tab focus loss is observed after invoking 'Skip to main content'."/>
    <s v="New"/>
    <s v="Enrique Monsalve &lt;v-monsalvee@microsoft.com&gt;"/>
    <s v="No revisado"/>
    <s v="William"/>
    <s v="Completado"/>
    <s v="A11y-1STPARTY; A11yMAS; A11yMASP3; CommonBrowsers; HCL; HCL_OLP - MayJune FY22 New Update; MAS 2.4.3; NewBaselineAssessment; RecID_8303"/>
    <s v="Cuando se va a otra screen, se ace focus a un elemento de la pantalla y esto es lo que anuncia."/>
    <x v="2"/>
    <s v="&lt;div style=&quot;box-sizing:border-box;&quot;&gt;&lt;b&gt;&lt;/b&gt; &lt;/div&gt;&lt;div&gt;&lt;b&gt;PWD Impact:&amp;nbsp;&lt;/b&gt;&lt;br style=&quot;box-sizing:border-box;&quot;&gt; &lt;/div&gt;&lt;div&gt; &lt;/div&gt;&lt;div&gt; &lt;/div&gt;&lt;div&gt;&lt;div style=&quot;box-sizing:border-box;font-family:&amp;quot;Segoe UI&amp;quot;, sans-serif;&quot;&gt;&lt;span style=&quot;display:inline !important;&quot;&gt;Users who rely on keyboard and low vision users are finding it difficult as&amp;nbsp;Keyboard tab focus loss is observed after invoking 'Skip to main content'. while navigating using keyboard tab key.&lt;/span&gt;&lt;br&gt; &lt;/div&gt;&lt;div style=&quot;box-sizing:border-box;font-family:&amp;quot;Segoe UI&amp;quot;, sans-serif;&quot;&gt;&lt;span style=&quot;display:inline !important;&quot;&gt;&lt;br&gt;&lt;/span&gt; &lt;/div&gt;&lt;b&gt;Test Environment:&lt;/b&gt;&lt;br&gt; &lt;/div&gt;&lt;div&gt; &lt;/div&gt;&lt;div&gt; &lt;/div&gt;&lt;div&gt; &lt;/div&gt;&lt;div&gt; &lt;/div&gt;&lt;div&gt; &lt;/div&gt;&lt;div&gt; &lt;/div&gt;&lt;div&gt; &lt;/div&gt;&lt;div&gt; &lt;/div&gt;&lt;div&gt;OS: Windows 11 [Version 21H2 (OS Build 22000.675)]&lt;br style=&quot;box-sizing:border-box;&quot;&gt; &lt;/div&gt;&lt;div&gt;Browser: Edge Chromium (102.0.1245.30), Chrome (102.0.5005.63) &lt;/div&gt;&lt;div&gt;&lt;span&gt;URL:&amp;nbsp;&lt;/span&gt;&lt;a href=&quot;https://apps.preview.powerapps.com/play/e/aa1775d6-89ae-47fb-b2cd-ebeb56163da6/a/347399e1-18ec-4002-aa22-c0285a367aaf?tenantId=72f988bf-86f1-41af-91ab-2d7cd011db47&quot;&gt;Onboarding App - Content - Power Apps&lt;/a&gt;&lt;br&gt; &lt;/div&gt;&lt;div&gt; &lt;/div&gt;&lt;div&gt; &lt;/div&gt;&lt;div&gt; &lt;/div&gt;&lt;div&gt; &lt;/div&gt;&lt;div&gt;&lt;br&gt; &lt;/div&gt;&lt;div&gt; &lt;/div&gt;&lt;div&gt; &lt;/div&gt;&lt;div&gt;&lt;b&gt;Repro Steps:&lt;/b&gt;&lt;br style=&quot;box-sizing:border-box;&quot;&gt; &lt;/div&gt;&lt;div&gt; &lt;/div&gt;&lt;div&gt; &lt;/div&gt;&lt;div&gt;&lt;div&gt; &lt;/div&gt;&lt;div&gt; &lt;/div&gt;&lt;div&gt; &lt;/div&gt;&lt;div&gt;Step 1:&amp;nbsp;Open the above URL in Edge Chromium Browser or chrome browser. &lt;/div&gt; &lt;/div&gt;&lt;div&gt; &lt;/div&gt;&lt;div&gt; &lt;/div&gt;&lt;div&gt; &lt;/div&gt;&lt;div&gt; &lt;/div&gt;&lt;div&gt;Step 2: 'Onboarding App - Content Page - Power Apps' page will appear. &lt;/div&gt;&lt;div&gt;&lt;span style=&quot;display:inline !important;&quot;&gt;Step 3:&amp;nbsp;&lt;/span&gt;&lt;span style=&quot;box-sizing:border-box;&quot;&gt;Navigate to 'Skip to Navigation' and invoke it.&lt;/span&gt;&lt;br&gt; &lt;/div&gt;&lt;div&gt;&lt;span&gt;Step 4:&amp;nbsp;&lt;/span&gt;&lt;span&gt;&lt;/span&gt;&lt;span style=&quot;display:inline !important;&quot;&gt;&lt;span&gt;&amp;nbsp;&lt;/span&gt;Verify whether&amp;nbsp;Keyboard tab focus loss is observed after invoking 'Skip to main content' or not.&lt;/span&gt;&lt;span&gt;&lt;/span&gt;&lt;br&gt; &lt;/div&gt;&lt;div&gt;&lt;div&gt; &lt;/div&gt;&lt;div&gt; &lt;/div&gt;&lt;div&gt; &lt;/div&gt;&lt;div&gt;&lt;b&gt;&lt;br&gt;&lt;/b&gt; &lt;/div&gt;&lt;div&gt;&lt;b&gt;Actual Result:&lt;/b&gt;&lt;br&gt; &lt;/div&gt; &lt;/div&gt;&lt;div&gt;&lt;span style=&quot;display:inline !important;&quot;&gt;Keyboard tab focus loss is observed after invoking 'Skip to main content'.&lt;/span&gt;&lt;br&gt; &lt;/div&gt;&lt;div&gt; &lt;/div&gt;&lt;div&gt; &lt;/div&gt;&lt;div&gt;&lt;b&gt;Observation:&amp;nbsp;&lt;span style=&quot;font-weight:400;display:inline !important;&quot;&gt;After invoking 'Skip to main content' the focus is not landing on any control if user press tab again focus is landing on 'Home' control.&lt;/span&gt;&lt;/b&gt; &lt;/div&gt;&lt;div&gt; &lt;/div&gt;&lt;div&gt;&lt;br&gt; &lt;/div&gt;&lt;div&gt; &lt;/div&gt;&lt;div&gt; &lt;/div&gt;&lt;div&gt; &lt;/div&gt;&lt;div&gt;&lt;b&gt;Expected Result:&lt;/b&gt;&lt;br style=&quot;box-sizing:border-box;&quot;&gt; &lt;/div&gt;&lt;div&gt; &lt;/div&gt;&lt;div&gt; &lt;/div&gt;&lt;div&gt;&lt;span style=&quot;display:inline !important;&quot;&gt;&lt;span style=&quot;display:inline !important;&quot;&gt;Keyboard tab focus loss should not be observed after invoking 'Skip to main content'.&lt;/span&gt;&lt;/span&gt;&lt;br&gt; &lt;/div&gt;&lt;div&gt;&lt;span style=&quot;display:inline !important;&quot;&gt;EX: Keyboard focus should land on 'Home' control when we invoke 'Skip to main content'.&lt;/span&gt; &lt;/div&gt;&lt;div&gt;&lt;span style=&quot;display:inline !important;&quot;&gt;&lt;br&gt;&lt;/span&gt; &lt;/div&gt;&lt;div&gt;&lt;div style=&quot;box-sizing:border-box;font-weight:bold;&quot;&gt;&lt;b style=&quot;box-sizing:border-box;&quot;&gt;Other Instances:&lt;/b&gt; &lt;/div&gt;&lt;div style=&quot;box-sizing:border-box;&quot;&gt;&lt;b style=&quot;box-sizing:border-box;font-weight:bold;&quot;&gt;1.&lt;/b&gt;Same issue replicates on the same page when we invoke on 'Home' control. &lt;/div&gt;&lt;div style=&quot;box-sizing:border-box;&quot;&gt;&lt;b&gt;Observation:&lt;/b&gt; Keyboard focus indicator is not displaying upon invoking 'Home' control. For the next tab keyboard focus indicator displaying on 'Home' control. &lt;/div&gt;&lt;div style=&quot;box-sizing:border-box;&quot;&gt;&lt;span style=&quot;box-sizing:border-box;&quot;&gt;&lt;b style=&quot;box-sizing:border-box;&quot;&gt;Refer Attachment:&lt;span&gt;&amp;nbsp;&lt;/span&gt;&lt;/b&gt;&lt;font face=&quot;Segoe UI, sans-serif&quot; style=&quot;box-sizing:border-box;&quot;&gt;MAS 2.4.3_(Other instance1)&lt;span style=&quot;box-sizing:border-box;&quot;&gt;&lt;b&gt;_&lt;/b&gt;Keyboard tab focus loss is observed upon invoking 'Home' control.mp4&lt;/span&gt;&lt;/font&gt;&lt;/span&gt; &lt;/div&gt;&lt;br&gt; &lt;/div&gt;&lt;div&gt;&lt;b&gt;&lt;/b&gt; &lt;/div&gt;&lt;div style=&quot;box-sizing:border-box;font-family:&amp;quot;Segoe UI&amp;quot;, sans-serif;font-weight:400;&quot;&gt;&lt;div style=&quot;box-sizing:border-box;font-family:&amp;quot;Segoe UI&amp;quot;, system-ui, &amp;quot;Apple Color Emoji&amp;quot;, &amp;quot;Segoe UI Emoji&amp;quot;, sans-serif;margin:0px 0in;&quot;&gt;&lt;span style=&quot;box-sizing:border-box;&quot;&gt;&lt;b style=&quot;box-sizing:border-box;&quot;&gt;MAS Reference:&lt;/b&gt;&lt;/span&gt; &lt;/div&gt;&lt;div style=&quot;box-sizing:border-box;font-family:&amp;quot;Segoe UI&amp;quot;, system-ui, &amp;quot;Apple Color Emoji&amp;quot;, &amp;quot;Segoe UI Emoji&amp;quot;, sans-serif;margin:0px 0in;&quot;&gt;&lt;span style=&quot;box-sizing:border-box;&quot;&gt;&lt;div style=&quot;box-sizing:border-box;&quot;&gt;&lt;a href=&quot;https://microsoft.sharepoint.com/teams/msenable/_layouts/15/WopiFrame.aspx?sourcedoc=%7b0de7fbe1-ad7e-48e5-bcbb-8d986691e2b9%7d&quot; style=&quot;box-sizing:border-box;text-decoration:underline;cursor:pointer;&quot;&gt;MAS 2.4.3 - Focus Order&lt;/a&gt; &lt;/div&gt;&lt;div style=&quot;box-sizing:border-box;&quot;&gt;&lt;br style=&quot;box-sizing:border-box;&quot;&gt; &lt;/div&gt;&lt;div style=&quot;box-sizing:border-box;&quot;&gt;&lt;b style=&quot;box-sizing:border-box;&quot;&gt;WCAG Reference:&lt;/b&gt; &lt;/div&gt;&lt;div style=&quot;box-sizing:border-box;&quot;&gt;&lt;a href=&quot;https://www.w3.org/WAI/WCAG21/Understanding/focus-order&quot; style=&quot;box-sizing:border-box;text-decoration:underline;cursor:pointer;&quot;&gt;https://www.w3.org/WAI/WCAG21/Understanding/focus-order&lt;/a&gt; &lt;/div&gt;&lt;/span&gt; &lt;/div&gt; &lt;/div&gt;&lt;div style=&quot;box-sizing:border-box;font-weight:400;&quot;&gt;&lt;div style=&quot;box-sizing:border-box;&quot;&gt;&lt;div style=&quot;box-sizing:border-box;&quot;&gt;&lt;div style=&quot;box-sizing:border-box;&quot;&gt;&lt;span style=&quot;box-sizing:border-box;font-weight:bold;&quot;&gt;&lt;div style=&quot;box-sizing:border-box;font-weight:400;&quot;&gt;&lt;div style=&quot;box-sizing:border-box;&quot;&gt;&lt;div style=&quot;box-sizing:border-box;font-family:&amp;quot;Segoe UI&amp;quot;, system-ui, &amp;quot;Apple Color Emoji&amp;quot;, &amp;quot;Segoe UI Emoji&amp;quot;, sans-serif;margin:0px 0in;&quot;&gt; &lt;/div&gt;&lt;a href=&quot;https://www.w3.org/WAI/WCAG21/Understanding/reflow.html&quot; style=&quot;box-sizing:border-box;text-decoration:underline;cursor:pointer;font-family:&amp;quot;Segoe UI&amp;quot;, system-ui, &amp;quot;Apple Color Emoji&amp;quot;, &amp;quot;Segoe UI Emoji&amp;quot;, sans-serif;&quot;&gt;&lt;/a&gt; &lt;/div&gt; &lt;/div&gt;&lt;/span&gt; &lt;/div&gt; &lt;/div&gt; &lt;/div&gt; &lt;/div&gt;"/>
    <s v="No"/>
    <x v="2"/>
    <s v="Enrique Monsalve "/>
  </r>
  <r>
    <n v="1517959"/>
    <s v="Bug"/>
    <s v="[Screen Readers - OLP Power Apps - Content page]: Screen readers are not narrating state information for 'Home' control while navigating using shortcut key 'B'."/>
    <s v="New"/>
    <s v="Enrique Monsalve &lt;v-monsalvee@microsoft.com&gt;"/>
    <s v="No revisado"/>
    <m/>
    <s v="En marcha"/>
    <s v="A11y-1STPARTY; A11yMAS; A11yMASP3; CommonScreenReaders; HCL; HCL_OLP - MayJune FY22 New Update; MAS 4.1.2; NewBaselineAssessment; RecID_8303"/>
    <s v="Bug reactivado. REVISAR_x000a__x000a_Necesitan saber current state (si el usuario está en Home o en Browse). Posible solución. Label (visible) detrás del botón, con tab index 0. con text= &quot;if(…. &quot;Current state Home&quot;). Onselect: select Thisitem.Button._x000a__x000a_FL: Sudheer va a pasar la solición. William porfa actualice el item en ADO (pedir la solución)."/>
    <x v="0"/>
    <s v="&lt;div style=&quot;box-sizing:border-box;&quot;&gt;&lt;b&gt;&lt;/b&gt; &lt;/div&gt;&lt;div style=&quot;box-sizing:border-box;&quot;&gt;&lt;span style=&quot;box-sizing:border-box;&quot;&gt;&lt;p style=&quot;font-weight:400;margin:0in;&quot;&gt;&lt;b style=&quot;&quot;&gt;PWD Impact: -&lt;/b&gt;&lt;br&gt; &lt;/p&gt;&lt;/span&gt; &lt;/div&gt;&lt;div style=&quot;box-sizing:border-box;font-weight:400;&quot;&gt;&lt;span style=&quot;box-sizing:border-box;display:inline !important;&quot;&gt;&lt;span style=&quot;box-sizing:border-box;font-family:&amp;quot;Segoe UI&amp;quot;, sans-serif;display:inline !important;&quot;&gt;&lt;span style=&quot;box-sizing:border-box;display:inline !important;&quot;&gt;&lt;span style=&quot;display:inline !important;&quot;&gt;&lt;span style=&quot;display:inline !important;&quot;&gt;&lt;span style=&quot;display:inline !important;&quot;&gt;&lt;span style=&quot;display:inline !important;&quot;&gt;&lt;span style=&quot;font-family:&amp;quot;Segoe UI&amp;quot;, sans-serif;display:inline !important;&quot;&gt;Screen Reader users will be impacted if Screen readers do not narrate selected state and on home control while navigating using shortcut key 'B'. Due to this behavior, it might lead to disorientation and here, screen reader users might get confused.&lt;/span&gt;&lt;/span&gt;&lt;/span&gt;&lt;/span&gt;&lt;/span&gt;&lt;/span&gt;&lt;/span&gt;&lt;/span&gt; &lt;/div&gt;&lt;div style=&quot;box-sizing:border-box;font-weight:400;&quot;&gt;&lt;br style=&quot;box-sizing:border-box;&quot;&gt; &lt;/div&gt;&lt;div style=&quot;box-sizing:border-box;font-weight:400;&quot;&gt;&lt;div style=&quot;box-sizing:border-box;&quot;&gt; &lt;/div&gt;&lt;div style=&quot;box-sizing:border-box;&quot;&gt;&lt;b style=&quot;box-sizing:border-box;font-family:&amp;quot;Segoe UI&amp;quot;, sans-serif;&quot;&gt;Test Environment:&lt;/b&gt;&lt;br style=&quot;box-sizing:border-box;&quot;&gt; &lt;/div&gt;&lt;div style=&quot;box-sizing:border-box;&quot;&gt; &lt;/div&gt; &lt;/div&gt;&lt;div style=&quot;box-sizing:border-box;font-weight:400;&quot;&gt; &lt;/div&gt;&lt;div style=&quot;box-sizing:border-box;font-weight:400;&quot;&gt; &lt;/div&gt;&lt;div style=&quot;box-sizing:border-box;font-weight:400;&quot;&gt; &lt;/div&gt;&lt;div style=&quot;box-sizing:border-box;font-weight:400;&quot;&gt; &lt;/div&gt;&lt;p style=&quot;box-sizing:border-box;font-weight:400;margin:0in;&quot;&gt; &lt;/p&gt;&lt;span style=&quot;box-sizing:border-box;font-weight:400;&quot;&gt;&lt;/span&gt;&lt;span style=&quot;box-sizing:border-box;font-weight:400;&quot;&gt;&lt;/span&gt;&lt;span style=&quot;box-sizing:border-box;font-weight:400;&quot;&gt;OS: Windows 11 [Version 21H2 (OS Build 22000.675)]&lt;br style=&quot;box-sizing:border-box;&quot;&gt;&lt;/span&gt;&lt;div style=&quot;box-sizing:border-box;font-weight:400;&quot;&gt;Browser: Edge Chromium (102.0.1245.30), Chrome (102.0.5005.63)&lt;br style=&quot;box-sizing:border-box;&quot;&gt; &lt;/div&gt;&lt;div style=&quot;box-sizing:border-box;font-weight:400;&quot;&gt;Screen readers: NVDA (2022.1), JAWS (2022.2204.20) &lt;/div&gt;&lt;div style=&quot;box-sizing:border-box;font-weight:400;&quot;&gt;&lt;span style=&quot;box-sizing:border-box;&quot;&gt;URL:&amp;nbsp;&lt;a href=&quot;https://apps.preview.powerapps.com/play/e/aa1775d6-89ae-47fb-b2cd-ebeb56163da6/a/347399e1-18ec-4002-aa22-c0285a367aaf?tenantId=72f988bf-86f1-41af-91ab-2d7cd011db47&quot;&gt;Onboarding App - Content - Power Apps&lt;/a&gt;&lt;/span&gt;&lt;br style=&quot;box-sizing:border-box;&quot;&gt; &lt;/div&gt;&lt;span style=&quot;box-sizing:border-box;font-weight:400;&quot;&gt;&lt;/span&gt;&lt;div style=&quot;box-sizing:border-box;font-weight:400;&quot;&gt; &lt;/div&gt;&lt;div style=&quot;box-sizing:border-box;font-weight:400;&quot;&gt; &lt;/div&gt;&lt;div style=&quot;box-sizing:border-box;font-weight:400;&quot;&gt;&lt;br style=&quot;box-sizing:border-box;&quot;&gt; &lt;/div&gt;&lt;div style=&quot;box-sizing:border-box;font-weight:400;&quot;&gt;&lt;span style=&quot;box-sizing:border-box;&quot;&gt;&lt;b style=&quot;box-sizing:border-box;&quot;&gt;Prerequisite:&lt;/b&gt;&lt;/span&gt; &lt;/div&gt;&lt;div style=&quot;box-sizing:border-box;font-weight:400;&quot;&gt;&lt;span style=&quot;box-sizing:border-box;&quot;&gt;Turn on NVDA/JAWS. Enable browse mode using 'insert+space'/'insert+Z' key.&lt;/span&gt;&lt;span style=&quot;box-sizing:border-box;&quot;&gt;&lt;b style=&quot;box-sizing:border-box;&quot;&gt;&lt;br style=&quot;box-sizing:border-box;&quot;&gt;&lt;/b&gt;&lt;/span&gt; &lt;/div&gt;&lt;div style=&quot;box-sizing:border-box;font-weight:400;&quot;&gt;&lt;span style=&quot;box-sizing:border-box;&quot;&gt;&lt;br style=&quot;box-sizing:border-box;&quot;&gt;&lt;/span&gt; &lt;/div&gt;&lt;div style=&quot;box-sizing:border-box;font-weight:400;&quot;&gt;&lt;p style=&quot;box-sizing:border-box;margin:0in;&quot;&gt;&lt;b style=&quot;box-sizing:border-box;&quot;&gt;Repro Steps:&lt;/b&gt;&lt;br style=&quot;box-sizing:border-box;&quot;&gt; &lt;/p&gt; &lt;/div&gt;&lt;div style=&quot;box-sizing:border-box;font-weight:400;&quot;&gt;&lt;div style=&quot;box-sizing:border-box;&quot;&gt;&lt;div style=&quot;box-sizing:border-box;&quot;&gt;&lt;div style=&quot;box-sizing:border-box;&quot;&gt;&lt;span style=&quot;box-sizing:border-box;&quot;&gt;&lt;div style=&quot;box-sizing:border-box;&quot;&gt; &lt;/div&gt;&lt;div style=&quot;box-sizing:border-box;&quot;&gt; &lt;/div&gt;&lt;div style=&quot;box-sizing:border-box;&quot;&gt; &lt;/div&gt;&lt;div style=&quot;box-sizing:border-box;&quot;&gt;Step 1:&lt;span style=&quot;box-sizing:border-box;&quot;&gt;&amp;nbsp;&lt;/span&gt;&lt;span style=&quot;box-sizing:border-box;color:rgb(36, 36, 36);font-family:-apple-system, BlinkMacSystemFont, &amp;quot;Segoe UI&amp;quot;, &amp;quot;Apple Color Emoji&amp;quot;, &amp;quot;Segoe UI Emoji&amp;quot;, &amp;quot;Segoe UI Web&amp;quot;, sans-serif;display:inline !important;&quot;&gt;Open the above URL in Edge Chromium Browser or chrome browser.&lt;/span&gt;&lt;span style=&quot;box-sizing:border-box;display:inline !important;&quot;&gt;&lt;/span&gt; &lt;/div&gt;&lt;/span&gt; &lt;/div&gt; &lt;/div&gt; &lt;/div&gt; &lt;/div&gt;&lt;div&gt;Step 2: 'Onboarding App - Content - Power Apps' page will appear-&amp;gt;Navigate to 'Home' control and activate it. &lt;/div&gt;&lt;div style=&quot;box-sizing:border-box;font-weight:400;&quot;&gt;&lt;div style=&quot;box-sizing:border-box;&quot;&gt;&lt;div style=&quot;box-sizing:border-box;&quot;&gt;&lt;div style=&quot;box-sizing:border-box;&quot;&gt;&lt;span style=&quot;box-sizing:border-box;&quot;&gt;&lt;div style=&quot;box-sizing:border-box;&quot;&gt;&lt;span style=&quot;&quot;&gt;Step 3:&amp;nbsp;&lt;/span&gt;&lt;span style=&quot;&quot;&gt;Verify whether&amp;nbsp;Screen readers narrate state information for 'Home' control while navigating using shortcut key 'B' or not.&lt;/span&gt;&lt;br&gt; &lt;/div&gt;&lt;div style=&quot;box-sizing:border-box;&quot;&gt; &lt;/div&gt;&lt;div style=&quot;box-sizing:border-box;&quot;&gt;&lt;span style=&quot;box-sizing:border-box;&quot;&gt;&lt;/span&gt; &lt;/div&gt;&lt;div style=&quot;box-sizing:border-box;&quot;&gt;&lt;span style=&quot;box-sizing:border-box;&quot;&gt;&lt;/span&gt; &lt;/div&gt;&lt;div style=&quot;box-sizing:border-box;&quot;&gt;&lt;span style=&quot;box-sizing:border-box;&quot;&gt;&lt;span style=&quot;box-sizing:border-box;font-family:Calibri, sans-serif;font-size:14.6667px;display:inline !important;&quot;&gt;&lt;span style=&quot;box-sizing:border-box;font-size:14px;display:inline !important;&quot;&gt;&lt;br style=&quot;box-sizing:border-box;&quot;&gt;&lt;/span&gt;&lt;/span&gt;&lt;/span&gt; &lt;/div&gt;&lt;/span&gt; &lt;/div&gt; &lt;/div&gt; &lt;/div&gt; &lt;/div&gt;&lt;div style=&quot;box-sizing:border-box;font-weight:400;&quot;&gt;&lt;div style=&quot;box-sizing:border-box;&quot;&gt;&lt;div style=&quot;box-sizing:border-box;&quot;&gt;&lt;b style=&quot;box-sizing:border-box;&quot;&gt;&lt;/b&gt; &lt;/div&gt; &lt;/div&gt; &lt;/div&gt;&lt;div style=&quot;box-sizing:border-box;font-weight:400;&quot;&gt;&lt;div style=&quot;box-sizing:border-box;&quot;&gt;&lt;div style=&quot;box-sizing:border-box;&quot;&gt;&lt;b style=&quot;box-sizing:border-box;&quot;&gt;Actual Result:&lt;/b&gt;&lt;br style=&quot;box-sizing:border-box;&quot;&gt; &lt;/div&gt; &lt;/div&gt; &lt;/div&gt;&lt;div style=&quot;box-sizing:border-box;font-weight:400;&quot;&gt; &lt;/div&gt;&lt;div style=&quot;box-sizing:border-box;font-weight:400;&quot;&gt;&lt;b style=&quot;box-sizing:border-box;&quot;&gt;&lt;span style=&quot;box-sizing:border-box;display:inline !important;&quot;&gt;&lt;/span&gt;&lt;/b&gt; &lt;/div&gt;&lt;div style=&quot;box-sizing:border-box;font-weight:400;&quot;&gt; &lt;/div&gt;&lt;div style=&quot;box-sizing:border-box;&quot;&gt;&lt;div style=&quot;font-weight:400;box-sizing:border-box;&quot;&gt; &lt;/div&gt; &lt;/div&gt;&lt;div style=&quot;box-sizing:border-box;&quot;&gt;Screen readers are not narrating state information for 'Home' control while navigating using shortcut key 'B'.&lt;br&gt; &lt;/div&gt;&lt;div style=&quot;box-sizing:border-box;&quot;&gt;&lt;b style=&quot;box-sizing:border-box;&quot;&gt;Observation:&lt;/b&gt;&lt;span&gt;&amp;nbsp;screen reader narrating as 'Gallery list with&lt;span&gt;&amp;nbsp;1 items Home button'.&lt;/span&gt;&lt;span&gt;&lt;/span&gt;&lt;/span&gt; &lt;/div&gt;&lt;div style=&quot;box-sizing:border-box;font-weight:400;&quot;&gt;&lt;br style=&quot;box-sizing:border-box;&quot;&gt; &lt;/div&gt;&lt;div style=&quot;box-sizing:border-box;&quot;&gt;&lt;div style=&quot;font-weight:400;box-sizing:border-box;&quot;&gt; &lt;/div&gt;&lt;div style=&quot;box-sizing:border-box;&quot;&gt;&lt;b style=&quot;box-sizing:border-box;&quot;&gt;Expected Result:&lt;br style=&quot;box-sizing:border-box;&quot;&gt;&lt;/b&gt;&lt;div style=&quot;font-weight:400;box-sizing:border-box;&quot;&gt;&lt;div style=&quot;box-sizing:border-box;&quot;&gt;&lt;span style=&quot;display:inline !important;&quot;&gt;Screen readers should narrate state information for 'Home' control while navigating using shortcut key 'B'.&lt;/span&gt;&lt;br&gt; &lt;/div&gt; &lt;/div&gt;&lt;div style=&quot;box-sizing:border-box;&quot;&gt;&lt;div style=&quot;box-sizing:border-box;&quot;&gt;&lt;b&gt;Ex: &lt;/b&gt;Screen reader should announce as&lt;b&gt;&amp;nbsp;&lt;span style=&quot;font-weight:400;display:inline !important;&quot;&gt;'Gallery list with&lt;/span&gt;&lt;span style=&quot;box-sizing:border-box;font-weight:400;&quot;&gt;&amp;nbsp;1 item selected Home button'.&lt;/span&gt;&lt;/b&gt; &lt;/div&gt;&lt;div style=&quot;box-sizing:border-box;&quot;&gt;&lt;br&gt; &lt;/div&gt;&lt;div style=&quot;box-sizing:border-box;&quot;&gt; &lt;/div&gt; &lt;/div&gt; &lt;/div&gt; &lt;/div&gt;&lt;div style=&quot;box-sizing:border-box;font-weight:400;&quot;&gt;&lt;div style=&quot;box-sizing:border-box;&quot;&gt;&lt;div style=&quot;box-sizing:border-box;&quot;&gt;&lt;div style=&quot;box-sizing:border-box;&quot;&gt;&lt;span style=&quot;box-sizing:border-box;font-weight:bold;&quot;&gt;&lt;div style=&quot;box-sizing:border-box;font-weight:400;&quot;&gt;&lt;div style=&quot;box-sizing:border-box;&quot;&gt;&lt;b style=&quot;box-sizing:border-box;&quot;&gt;&lt;/b&gt; &lt;/div&gt; &lt;/div&gt;&lt;/span&gt; &lt;/div&gt; &lt;/div&gt; &lt;/div&gt; &lt;/div&gt;&lt;div style=&quot;box-sizing:border-box;font-weight:400;&quot;&gt;&lt;b style=&quot;box-sizing:border-box;&quot;&gt;MAS Reference Link:&lt;/b&gt; &lt;/div&gt;&lt;div style=&quot;box-sizing:border-box;font-weight:400;&quot;&gt;&lt;a href=&quot;https://microsoft.sharepoint.com/teams/msenable/_layouts/15/WopiFrame.aspx?sourcedoc=%7b248054a6-5e68-4771-9e1e-242fb5025730%7d&quot; style=&quot;box-sizing:border-box;text-decoration:underline;cursor:pointer;&quot;&gt;MAS 4.1.2 - Name, Role, Value&lt;/a&gt;&lt;br style=&quot;box-sizing:border-box;&quot;&gt; &lt;/div&gt;&lt;div style=&quot;box-sizing:border-box;font-weight:400;&quot;&gt;&amp;nbsp; &lt;/div&gt;&lt;div style=&quot;box-sizing:border-box;font-weight:400;&quot;&gt;&lt;b style=&quot;box-sizing:border-box;&quot;&gt;WCAG Reference Link:&lt;/b&gt; &lt;/div&gt;&lt;div style=&quot;box-sizing:border-box;font-weight:400;&quot;&gt;&lt;a href=&quot;https://www.w3.org/WAI/WCAG21/Understanding/name-role-value.html&quot; style=&quot;box-sizing:border-box;text-decoration:underline;cursor:pointer;&quot;&gt;https://www.w3.org/WAI/WCAG21/Understanding/name-role-value.html&lt;/a&gt; &lt;/div&gt;&lt;div&gt;&lt;div&gt;&lt;div style=&quot;box-sizing:border-box;&quot;&gt;&lt;a href=&quot;https://www.w3.org/WAI/WCAG21/Understanding/info-and-relationships.html&quot; style=&quot;box-sizing:border-box;text-decoration:underline;&quot;&gt;&lt;/a&gt; &lt;/div&gt; &lt;/div&gt; &lt;/div&gt;&lt;div style=&quot;box-sizing:border-box;font-weight:400;&quot;&gt;&lt;div style=&quot;box-sizing:border-box;&quot;&gt;&lt;div style=&quot;box-sizing:border-box;&quot;&gt;&lt;div style=&quot;box-sizing:border-box;&quot;&gt; &lt;/div&gt; &lt;/div&gt; &lt;/div&gt; &lt;/div&gt;"/>
    <s v="No"/>
    <x v="4"/>
    <s v="William Pena "/>
  </r>
  <r>
    <n v="1517619"/>
    <s v="Bug"/>
    <s v="[Screen Readers - OLP Power Apps - Content page]: Headings are not defined in the page while navigating using heading shortcut key 'H' or down arrow key."/>
    <s v="New"/>
    <s v="Enrique Monsalve &lt;v-monsalvee@microsoft.com&gt;"/>
    <s v="No revisado"/>
    <m/>
    <s v="Completado"/>
    <s v="A11y-1STPARTY; A11yMAS; A11yMASP3; CommonScreenReaders; HCL; HCL_OLP - MayJune FY22 New Update; MAS 2.4.6; NewBaselineAssessment; RecID_8303"/>
    <m/>
    <x v="1"/>
    <s v="&lt;div style=&quot;box-sizing:border-box;&quot;&gt;&lt;b&gt;&lt;/b&gt; &lt;/div&gt;&lt;div style=&quot;box-sizing:border-box;font-weight:400;&quot;&gt;&lt;b style=&quot;box-sizing:border-box;&quot;&gt;PWD Impact: -&lt;/b&gt;&lt;br style=&quot;box-sizing:border-box;&quot;&gt; &lt;/div&gt;&lt;div style=&quot;box-sizing:border-box;font-weight:400;&quot;&gt;&lt;span style=&quot;box-sizing:border-box;display:inline !important;&quot;&gt;&lt;span style=&quot;box-sizing:border-box;font-family:&amp;quot;Segoe UI&amp;quot;, sans-serif;display:inline !important;&quot;&gt;&lt;span style=&quot;box-sizing:border-box;display:inline !important;&quot;&gt;&lt;span style=&quot;display:inline !important;&quot;&gt;&lt;span style=&quot;display:inline !important;&quot;&gt;&lt;div style=&quot;box-sizing:border-box;&quot;&gt;&lt;span style=&quot;box-sizing:border-box;display:inline !important;&quot;&gt;&lt;span style=&quot;box-sizing:border-box;font-family:&amp;quot;Segoe UI&amp;quot;, sans-serif;display:inline !important;&quot;&gt;&lt;span style=&quot;box-sizing:border-box;display:inline !important;&quot;&gt;Screen reader users will find it difficult to navigate through the page without knowing about the headings. This will create confusion as the purpose of the page or text is not understandable if&amp;nbsp;Headings are not defined in the page while navigating using heading shortcut key h or down arrow key.&lt;/span&gt;&lt;/span&gt;&lt;/span&gt; &lt;/div&gt;&lt;br&gt;&lt;/span&gt;&lt;/span&gt;&lt;/span&gt;&lt;/span&gt;&lt;/span&gt; &lt;/div&gt;&lt;div style=&quot;box-sizing:border-box;font-weight:400;&quot;&gt;&lt;b style=&quot;font-family:&amp;quot;Segoe UI&amp;quot;, sans-serif;&quot;&gt;Test Environment:&lt;/b&gt;&lt;br&gt; &lt;/div&gt;&lt;div style=&quot;box-sizing:border-box;font-weight:400;&quot;&gt;&lt;div style=&quot;box-sizing:border-box;&quot;&gt; &lt;/div&gt; &lt;/div&gt;&lt;div style=&quot;box-sizing:border-box;font-weight:400;&quot;&gt; &lt;/div&gt;&lt;div style=&quot;box-sizing:border-box;font-weight:400;&quot;&gt; &lt;/div&gt;&lt;div style=&quot;box-sizing:border-box;font-weight:400;&quot;&gt; &lt;/div&gt;&lt;div style=&quot;box-sizing:border-box;font-weight:400;&quot;&gt; &lt;/div&gt;&lt;p style=&quot;box-sizing:border-box;font-weight:400;margin:0in;&quot;&gt; &lt;/p&gt;&lt;span style=&quot;box-sizing:border-box;font-weight:400;&quot;&gt;&lt;/span&gt;&lt;span style=&quot;box-sizing:border-box;font-weight:400;&quot;&gt;&lt;/span&gt;&lt;span style=&quot;box-sizing:border-box;font-weight:400;&quot;&gt;OS: Windows 11 [Version 21H2 (OS Build 22000.675)]&lt;br style=&quot;box-sizing:border-box;&quot;&gt;&lt;/span&gt;&lt;div style=&quot;box-sizing:border-box;font-weight:400;&quot;&gt;Browser: Edge Chromium (102.0.1245.30), Chrome (102.0.5005.63)&lt;br style=&quot;box-sizing:border-box;&quot;&gt; &lt;/div&gt;&lt;div style=&quot;box-sizing:border-box;font-weight:400;&quot;&gt;Screen readers: NVDA (2022.1), JAWS (2022.2204.20) &lt;/div&gt;&lt;div style=&quot;box-sizing:border-box;font-weight:400;&quot;&gt;&lt;span style=&quot;box-sizing:border-box;&quot;&gt;URL:&amp;nbsp;&lt;a href=&quot;https://apps.preview.powerapps.com/play/e/aa1775d6-89ae-47fb-b2cd-ebeb56163da6/a/347399e1-18ec-4002-aa22-c0285a367aaf?tenantId=72f988bf-86f1-41af-91ab-2d7cd011db47&quot;&gt;Onboarding App - Content - Power Apps&lt;/a&gt;&lt;/span&gt;&lt;br style=&quot;box-sizing:border-box;&quot;&gt; &lt;/div&gt;&lt;span style=&quot;box-sizing:border-box;font-weight:400;&quot;&gt;&lt;/span&gt;&lt;div style=&quot;box-sizing:border-box;font-weight:400;&quot;&gt; &lt;/div&gt;&lt;div style=&quot;box-sizing:border-box;font-weight:400;&quot;&gt; &lt;/div&gt;&lt;div style=&quot;box-sizing:border-box;font-weight:400;&quot;&gt;&lt;br style=&quot;box-sizing:border-box;&quot;&gt; &lt;/div&gt;&lt;div style=&quot;box-sizing:border-box;font-weight:400;&quot;&gt;&lt;span style=&quot;box-sizing:border-box;&quot;&gt;&lt;b style=&quot;box-sizing:border-box;&quot;&gt;Prerequisite:&lt;/b&gt;&lt;/span&gt; &lt;/div&gt;&lt;div style=&quot;box-sizing:border-box;font-weight:400;&quot;&gt;&lt;span style=&quot;box-sizing:border-box;&quot;&gt;Turn on NVDA/JAWS. Enable browse mode using 'insert+space'/'insert+Z' key.&lt;/span&gt;&lt;span style=&quot;box-sizing:border-box;&quot;&gt;&lt;b style=&quot;box-sizing:border-box;&quot;&gt;&lt;br style=&quot;box-sizing:border-box;&quot;&gt;&lt;/b&gt;&lt;/span&gt; &lt;/div&gt;&lt;div style=&quot;box-sizing:border-box;font-weight:400;&quot;&gt;&lt;span style=&quot;box-sizing:border-box;&quot;&gt;&lt;br style=&quot;box-sizing:border-box;&quot;&gt;&lt;/span&gt; &lt;/div&gt;&lt;div style=&quot;box-sizing:border-box;font-weight:400;&quot;&gt;&lt;p style=&quot;box-sizing:border-box;margin:0in;&quot;&gt;&lt;b style=&quot;box-sizing:border-box;&quot;&gt;Repro Steps:&lt;/b&gt;&lt;br style=&quot;box-sizing:border-box;&quot;&gt; &lt;/p&gt; &lt;/div&gt;&lt;div style=&quot;box-sizing:border-box;font-weight:400;&quot;&gt;&lt;div style=&quot;box-sizing:border-box;&quot;&gt;&lt;div style=&quot;box-sizing:border-box;&quot;&gt;&lt;div style=&quot;box-sizing:border-box;&quot;&gt;&lt;span style=&quot;box-sizing:border-box;&quot;&gt;&lt;div style=&quot;box-sizing:border-box;&quot;&gt; &lt;/div&gt;&lt;div style=&quot;box-sizing:border-box;&quot;&gt; &lt;/div&gt;&lt;div style=&quot;box-sizing:border-box;&quot;&gt; &lt;/div&gt;&lt;div style=&quot;box-sizing:border-box;&quot;&gt;Step 1:&lt;span style=&quot;box-sizing:border-box;&quot;&gt;&amp;nbsp;&lt;/span&gt;&lt;span style=&quot;box-sizing:border-box;color:rgb(36, 36, 36);font-family:-apple-system, BlinkMacSystemFont, &amp;quot;Segoe UI&amp;quot;, &amp;quot;Apple Color Emoji&amp;quot;, &amp;quot;Segoe UI Emoji&amp;quot;, &amp;quot;Segoe UI Web&amp;quot;, sans-serif;display:inline !important;&quot;&gt;Open the above URL in Edge Chromium Browser or chrome browser.&lt;/span&gt;&lt;span style=&quot;box-sizing:border-box;display:inline !important;&quot;&gt;&lt;/span&gt; &lt;/div&gt;&lt;/span&gt; &lt;/div&gt; &lt;/div&gt; &lt;/div&gt; &lt;/div&gt;&lt;div&gt;Step 2: 'Onboarding App - Content - Power Apps' page will appear.&amp;nbsp; &lt;/div&gt;&lt;div style=&quot;box-sizing:border-box;font-weight:400;&quot;&gt;&lt;div style=&quot;box-sizing:border-box;&quot;&gt;&lt;div style=&quot;box-sizing:border-box;&quot;&gt;&lt;div style=&quot;box-sizing:border-box;&quot;&gt;&lt;span style=&quot;box-sizing:border-box;&quot;&gt;&lt;div style=&quot;box-sizing:border-box;&quot;&gt;Step 3: Navigate on the page using short cut key 'H' or down arrow key. &lt;/div&gt;&lt;div style=&quot;box-sizing:border-box;&quot;&gt;&lt;span style=&quot;box-sizing:border-box;&quot;&gt;&lt;span style=&quot;box-sizing:border-box;&quot;&gt;Step 4:&lt;span style=&quot;box-sizing:border-box;&quot;&gt;&amp;nbsp;Verify whether &lt;/span&gt;&lt;/span&gt;Headings are not defined in the page while navigating using heading shortcut key 'H' or down arrow key&amp;nbsp;or not.&lt;br style=&quot;box-sizing:border-box;&quot;&gt;&lt;/span&gt; &lt;/div&gt;&lt;div style=&quot;box-sizing:border-box;&quot;&gt;&lt;span style=&quot;box-sizing:border-box;&quot;&gt;&lt;/span&gt; &lt;/div&gt;&lt;div style=&quot;box-sizing:border-box;&quot;&gt;&lt;span style=&quot;box-sizing:border-box;&quot;&gt;&lt;/span&gt; &lt;/div&gt;&lt;div style=&quot;box-sizing:border-box;&quot;&gt;&lt;span style=&quot;box-sizing:border-box;&quot;&gt;&lt;span style=&quot;box-sizing:border-box;font-family:Calibri, sans-serif;font-size:14.6667px;display:inline !important;&quot;&gt;&lt;span style=&quot;box-sizing:border-box;font-size:14px;display:inline !important;&quot;&gt;&lt;br style=&quot;box-sizing:border-box;&quot;&gt;&lt;/span&gt;&lt;/span&gt;&lt;/span&gt; &lt;/div&gt;&lt;/span&gt; &lt;/div&gt; &lt;/div&gt; &lt;/div&gt; &lt;/div&gt;&lt;div style=&quot;box-sizing:border-box;font-weight:400;&quot;&gt;&lt;div style=&quot;box-sizing:border-box;&quot;&gt;&lt;div style=&quot;box-sizing:border-box;&quot;&gt;&lt;b style=&quot;box-sizing:border-box;&quot;&gt;&lt;/b&gt; &lt;/div&gt; &lt;/div&gt; &lt;/div&gt;&lt;div style=&quot;box-sizing:border-box;font-weight:400;&quot;&gt;&lt;div style=&quot;box-sizing:border-box;&quot;&gt;&lt;div style=&quot;box-sizing:border-box;&quot;&gt;&lt;b style=&quot;box-sizing:border-box;&quot;&gt;Actual Result:&lt;/b&gt;&lt;br style=&quot;box-sizing:border-box;&quot;&gt; &lt;/div&gt; &lt;/div&gt; &lt;/div&gt;&lt;div style=&quot;box-sizing:border-box;font-weight:400;&quot;&gt; &lt;/div&gt;&lt;div style=&quot;box-sizing:border-box;font-weight:400;&quot;&gt;&lt;b style=&quot;box-sizing:border-box;&quot;&gt;&lt;span style=&quot;box-sizing:border-box;display:inline !important;&quot;&gt;&lt;/span&gt;&lt;/b&gt; &lt;/div&gt;&lt;div style=&quot;box-sizing:border-box;font-weight:400;&quot;&gt; &lt;/div&gt;&lt;div style=&quot;box-sizing:border-box;&quot;&gt;&lt;div style=&quot;font-weight:400;box-sizing:border-box;&quot;&gt;Headings are not defined in the page while navigating using heading shortcut key 'H' or down arrow key. &lt;/div&gt;&lt;div style=&quot;box-sizing:border-box;&quot;&gt;&lt;b&gt;Observation:&lt;/b&gt; &lt;/div&gt;&lt;div style=&quot;box-sizing:border-box;&quot;&gt;&lt;span&gt;&lt;b&gt;&lt;/b&gt;&lt;/span&gt; &lt;/div&gt; &lt;/div&gt;&lt;div style=&quot;box-sizing:border-box;&quot;&gt;Screen reader narrating as 'no previous heading' and 'no next heading' while navigating using short cut key 'H' in browse mode. &lt;/div&gt;&lt;div style=&quot;box-sizing:border-box;&quot;&gt;&lt;br&gt; &lt;/div&gt;&lt;div style=&quot;box-sizing:border-box;&quot;&gt;&lt;div style=&quot;font-weight:400;box-sizing:border-box;&quot;&gt; &lt;/div&gt;&lt;div style=&quot;box-sizing:border-box;&quot;&gt;&lt;b style=&quot;box-sizing:border-box;&quot;&gt;Expected Result:&lt;br style=&quot;box-sizing:border-box;&quot;&gt;&lt;/b&gt;&lt;div style=&quot;font-weight:400;box-sizing:border-box;&quot;&gt;&lt;div style=&quot;box-sizing:border-box;&quot;&gt;&lt;span style=&quot;display:inline !important;&quot;&gt;&lt;/span&gt; &lt;/div&gt; &lt;/div&gt;&lt;div style=&quot;box-sizing:border-box;&quot;&gt;&lt;div style=&quot;box-sizing:border-box;&quot;&gt;Headings should be provided in the page while navigating using heading shortcut key 'H' or down arrow key.&lt;br style=&quot;box-sizing:border-box;&quot;&gt; &lt;/div&gt;&lt;div style=&quot;box-sizing:border-box;&quot;&gt; &lt;/div&gt;&lt;div style=&quot;box-sizing:border-box;&quot;&gt; &lt;/div&gt;&lt;div style=&quot;box-sizing:border-box;&quot;&gt; &lt;/div&gt;&lt;div style=&quot;box-sizing:border-box;&quot;&gt; &lt;/div&gt;&lt;div style=&quot;box-sizing:border-box;&quot;&gt; &lt;/div&gt;&lt;div style=&quot;box-sizing:border-box;&quot;&gt; &lt;/div&gt;&lt;div style=&quot;box-sizing:border-box;&quot;&gt; &lt;/div&gt;&lt;div style=&quot;box-sizing:border-box;&quot;&gt; &lt;/div&gt;&lt;div style=&quot;box-sizing:border-box;&quot;&gt; &lt;/div&gt;&lt;div style=&quot;box-sizing:border-box;&quot;&gt;&lt;span style=&quot;box-sizing:border-box;&quot;&gt;&lt;/span&gt; &lt;/div&gt;&lt;span style=&quot;box-sizing:border-box;display:inline !important;&quot;&gt;Every page should have headings according to the content and structure.&lt;/span&gt; &lt;/div&gt; &lt;/div&gt; &lt;/div&gt;&lt;div&gt;&amp;lt;h1&amp;gt;Hi Lakshmidevi Jaddu,&amp;nbsp;&lt;span style=&quot;&quot;&gt;Start your journey with&amp;nbsp;&lt;/span&gt;&lt;span style=&quot;&quot;&gt;Onboarding App&amp;lt;h1&amp;gt; should be defined.&lt;/span&gt; &lt;/div&gt;&lt;div style=&quot;box-sizing:border-box;&quot;&gt;&lt;div style=&quot;box-sizing:border-box;&quot;&gt;&lt;div style=&quot;box-sizing:border-box;&quot;&gt;&lt;div style=&quot;box-sizing:border-box;&quot;&gt;&lt;span style=&quot;box-sizing:border-box;display:inline !important;&quot;&gt;&lt;/span&gt; &lt;/div&gt;&lt;div style=&quot;box-sizing:border-box;&quot;&gt;&lt;span style=&quot;box-sizing:border-box;display:inline !important;&quot;&gt;&lt;br&gt;&lt;/span&gt; &lt;/div&gt; &lt;/div&gt; &lt;/div&gt; &lt;/div&gt;&lt;div style=&quot;box-sizing:border-box;font-weight:400;&quot;&gt;&lt;div style=&quot;box-sizing:border-box;&quot;&gt;&lt;div style=&quot;box-sizing:border-box;&quot;&gt;&lt;div style=&quot;box-sizing:border-box;&quot;&gt;&lt;span style=&quot;box-sizing:border-box;font-weight:bold;&quot;&gt;&lt;div style=&quot;box-sizing:border-box;font-weight:400;&quot;&gt;&lt;div style=&quot;box-sizing:border-box;&quot;&gt;&lt;b style=&quot;box-sizing:border-box;&quot;&gt;&lt;/b&gt; &lt;/div&gt;&lt;div style=&quot;box-sizing:border-box;&quot;&gt;&lt;div style=&quot;box-sizing:border-box;font-weight:400;&quot;&gt;&lt;span style=&quot;box-sizing:border-box;font-weight:bold;&quot;&gt;MAS Reference:&lt;/span&gt;&lt;br style=&quot;box-sizing:border-box;&quot;&gt; &lt;/div&gt;&lt;div style=&quot;box-sizing:border-box;font-weight:400;&quot;&gt;&lt;span style=&quot;box-sizing:border-box;font-weight:bold;&quot;&gt;&lt;div style=&quot;box-sizing:border-box;font-weight:400;&quot;&gt;&lt;a href=&quot;https://microsoft.sharepoint.com/:w:/r/sites/accessibility/_layouts/15/Doc.aspx?sourcedoc=%7b9EBE78B9-6AEE-4CCA-908B-52A214B437A8%7d&amp;amp;file=MAS%202.4.6%20%E2%80%93%20Headings%20and%20Labels.docx&amp;amp;wdLOR=c8BB700E9-6F3C-492A-8874-3CACAD96EEB9&amp;amp;action=default&amp;amp;mobileredirect=true&quot; style=&quot;box-sizing:border-box;text-decoration:underline;cursor:pointer;&quot;&gt;MAS 2.4.6 – Headings and Labels&lt;/a&gt; &lt;/div&gt;&lt;div style=&quot;box-sizing:border-box;font-weight:400;&quot;&gt;&amp;nbsp; &lt;/div&gt;&lt;div style=&quot;box-sizing:border-box;font-weight:400;&quot;&gt;&lt;b style=&quot;box-sizing:border-box;&quot;&gt;WCAG Reference:&lt;/b&gt; &lt;/div&gt;&lt;div style=&quot;box-sizing:border-box;font-weight:400;&quot;&gt;&lt;a href=&quot;https://www.w3.org/WAI/WCAG21/Understanding/headings-and-labels.html&quot; style=&quot;box-sizing:border-box;text-decoration:underline;cursor:pointer;&quot;&gt;https://www.w3.org/WAI/WCAG21/Understanding/headings-and-labels.html&lt;/a&gt; &lt;/div&gt;&lt;/span&gt; &lt;/div&gt; &lt;/div&gt; &lt;/div&gt;&lt;/span&gt; &lt;/div&gt; &lt;/div&gt; &lt;/div&gt; &lt;/div&gt;"/>
    <s v="Si"/>
    <x v="0"/>
    <s v="Enrique Monsalve "/>
  </r>
  <r>
    <n v="1517987"/>
    <s v="Bug"/>
    <s v="[Visual Requirement - OLP Power Apps - Content page]: After applying text spacing, text is getting overlapped."/>
    <s v="New"/>
    <s v="Enrique Monsalve &lt;v-monsalvee@microsoft.com&gt;"/>
    <s v="No revisado"/>
    <m/>
    <s v="Completado"/>
    <s v="A11y-1STPARTY; A11yMAS; A11yMASP3; CommonBrowsers; HCL; HCL_OLP - MayJune FY22 New Update; MAS 1.4.12; NewBaselineAssessment; RecID_8303"/>
    <s v="Preguntamos por herramienta de text spacing. Seguimos pendientes para que nos pasen la que usan internamente._x000a__x000a_https://powerusers.microsoft.com/t5/Building-Power-Apps/NVDA-in-powerapps/m-p/621857#M196702_x000a__x000a_Después de una reunión con el dos ingenieros de Accessibility, Dipankar y Sudheer. Nos comentaron que si utilizamos la fuente Segoe UI, no deberiamos de tener problema con el tema de text spacing."/>
    <x v="0"/>
    <s v="&lt;div style=&quot;box-sizing:border-box;&quot;&gt;&lt;b&gt;&lt;/b&gt; &lt;/div&gt;&lt;div style=&quot;box-sizing:border-box;&quot;&gt;&lt;span style=&quot;box-sizing:border-box;&quot;&gt;&lt;p style=&quot;font-weight:400;margin:0in;&quot;&gt;&lt;b&gt;PWD Impact: -&lt;/b&gt;&lt;br&gt; &lt;/p&gt;&lt;/span&gt; &lt;/div&gt;&lt;div style=&quot;box-sizing:border-box;font-weight:400;&quot;&gt;&lt;span style=&quot;box-sizing:border-box;display:inline !important;&quot;&gt;&lt;span style=&quot;box-sizing:border-box;font-family:&amp;quot;Segoe UI&amp;quot;, sans-serif;display:inline !important;&quot;&gt;&lt;span style=&quot;box-sizing:border-box;display:inline !important;&quot;&gt;&lt;span style=&quot;display:inline !important;&quot;&gt;&lt;span style=&quot;display:inline !important;&quot;&gt;&lt;span style=&quot;display:inline !important;&quot;&gt;&lt;span style=&quot;display:inline !important;&quot;&gt;&lt;span style=&quot;box-sizing:border-box;display:inline !important;&quot;&gt;&lt;/span&gt;&lt;/span&gt;&lt;/span&gt;&lt;/span&gt;&lt;/span&gt;&lt;/span&gt;&lt;/span&gt;&lt;/span&gt; &lt;/div&gt;&lt;span style=&quot;display:inline !important;&quot;&gt;People with low vision and dyslexia who increase space between lines, words, and letters for viewing it clearly to read are unable to understand the purpose of page content if after applying text spacing as&amp;nbsp;Text is getting truncated after applying text spacing. Text spacing&amp;nbsp;increases spacing between lines, words, letters, and paragraphs. Any combination of these may assist a user with effectively reading text. As well, ensuring users can override author settings for spacing also significantly increases the likelihood other style preferences can be set by the user. For example, a user may need to change to a wider font family than the author has set in order to effectively read text.&lt;/span&gt;&lt;div style=&quot;box-sizing:border-box;font-weight:400;&quot;&gt;&lt;br style=&quot;box-sizing:border-box;&quot;&gt; &lt;/div&gt;&lt;div style=&quot;box-sizing:border-box;font-weight:400;&quot;&gt;&lt;div style=&quot;box-sizing:border-box;&quot;&gt; &lt;/div&gt;&lt;div style=&quot;box-sizing:border-box;&quot;&gt;&lt;b style=&quot;box-sizing:border-box;font-family:&amp;quot;Segoe UI&amp;quot;, sans-serif;&quot;&gt;Test Environment:&lt;/b&gt;&lt;br style=&quot;box-sizing:border-box;&quot;&gt; &lt;/div&gt;&lt;div style=&quot;box-sizing:border-box;&quot;&gt; &lt;/div&gt; &lt;/div&gt;&lt;div style=&quot;box-sizing:border-box;font-weight:400;&quot;&gt; &lt;/div&gt;&lt;div style=&quot;box-sizing:border-box;font-weight:400;&quot;&gt; &lt;/div&gt;&lt;div style=&quot;box-sizing:border-box;font-weight:400;&quot;&gt; &lt;/div&gt;&lt;div style=&quot;box-sizing:border-box;font-weight:400;&quot;&gt; &lt;/div&gt;&lt;p style=&quot;box-sizing:border-box;font-weight:400;margin:0in;&quot;&gt; &lt;/p&gt;&lt;span style=&quot;box-sizing:border-box;font-weight:400;&quot;&gt;&lt;/span&gt;&lt;span style=&quot;box-sizing:border-box;font-weight:400;&quot;&gt;&lt;/span&gt;&lt;span style=&quot;box-sizing:border-box;font-weight:400;&quot;&gt;&lt;/span&gt;&lt;span&gt;OS: Windows 11 [Version 21H2 (OS Build 22000.856)]&lt;br&gt;&lt;/span&gt;&lt;div&gt;Browser: Edge Chromium (104.0.1293.54), Chrome (104.0.5112.81)&lt;br&gt; &lt;/div&gt;&lt;span&gt;&lt;/span&gt;&lt;div style=&quot;box-sizing:border-box;font-weight:400;&quot;&gt; &lt;/div&gt;&lt;div style=&quot;box-sizing:border-box;font-weight:400;&quot;&gt;&lt;span style=&quot;box-sizing:border-box;&quot;&gt;URL:&amp;nbsp;&lt;a href=&quot;https://apps.preview.powerapps.com/play/e/aa1775d6-89ae-47fb-b2cd-ebeb56163da6/a/347399e1-18ec-4002-aa22-c0285a367aaf?tenantId=72f988bf-86f1-41af-91ab-2d7cd011db47&quot;&gt;Onboarding App - Content - Power Apps&lt;/a&gt;&lt;/span&gt;&lt;br style=&quot;box-sizing:border-box;&quot;&gt; &lt;/div&gt;&lt;span style=&quot;box-sizing:border-box;font-weight:400;&quot;&gt;&lt;/span&gt;&lt;div style=&quot;box-sizing:border-box;font-weight:400;&quot;&gt; &lt;/div&gt;&lt;div style=&quot;box-sizing:border-box;font-weight:400;&quot;&gt; &lt;/div&gt;&lt;div style=&quot;box-sizing:border-box;font-weight:400;&quot;&gt;&lt;br&gt; &lt;/div&gt;&lt;div style=&quot;box-sizing:border-box;font-weight:400;&quot;&gt;&lt;div style=&quot;box-sizing:border-box;&quot;&gt;&lt;b style=&quot;box-sizing:border-box;&quot;&gt;Prerequisite:&lt;/b&gt; &lt;/div&gt;&lt;div style=&quot;box-sizing:border-box;&quot;&gt;Apply text Spacing. &lt;/div&gt;&lt;br&gt; &lt;/div&gt;&lt;div style=&quot;box-sizing:border-box;font-weight:400;&quot;&gt; &lt;/div&gt;&lt;div style=&quot;box-sizing:border-box;font-weight:400;&quot;&gt;&lt;p style=&quot;box-sizing:border-box;margin:0in;&quot;&gt;&lt;b style=&quot;box-sizing:border-box;&quot;&gt;Repro Steps:&lt;/b&gt;&lt;br style=&quot;box-sizing:border-box;&quot;&gt; &lt;/p&gt; &lt;/div&gt;&lt;div style=&quot;box-sizing:border-box;font-weight:400;&quot;&gt;&lt;div style=&quot;box-sizing:border-box;&quot;&gt;&lt;div style=&quot;box-sizing:border-box;&quot;&gt;&lt;div style=&quot;box-sizing:border-box;&quot;&gt;&lt;span style=&quot;box-sizing:border-box;&quot;&gt;&lt;div style=&quot;box-sizing:border-box;&quot;&gt; &lt;/div&gt;&lt;div style=&quot;box-sizing:border-box;&quot;&gt; &lt;/div&gt;&lt;div style=&quot;box-sizing:border-box;&quot;&gt; &lt;/div&gt;&lt;div style=&quot;box-sizing:border-box;&quot;&gt;Step 1:&lt;span style=&quot;box-sizing:border-box;&quot;&gt;&amp;nbsp;&lt;/span&gt;&lt;span style=&quot;box-sizing:border-box;color:rgb(36, 36, 36);font-family:-apple-system, BlinkMacSystemFont, &amp;quot;Segoe UI&amp;quot;, &amp;quot;Apple Color Emoji&amp;quot;, &amp;quot;Segoe UI Emoji&amp;quot;, &amp;quot;Segoe UI Web&amp;quot;, sans-serif;display:inline !important;&quot;&gt;Open the above URL in Edge Chromium Browser or chrome browser.&lt;/span&gt;&lt;span style=&quot;box-sizing:border-box;display:inline !important;&quot;&gt;&lt;/span&gt; &lt;/div&gt;&lt;/span&gt; &lt;/div&gt; &lt;/div&gt; &lt;/div&gt; &lt;/div&gt;&lt;div&gt;Step 2: 'Onboarding App - Content - Power Apps' page will appear.&amp;nbsp; &lt;/div&gt;&lt;div style=&quot;box-sizing:border-box;font-weight:400;&quot;&gt;&lt;div style=&quot;box-sizing:border-box;&quot;&gt;&lt;div style=&quot;box-sizing:border-box;&quot;&gt;&lt;div style=&quot;box-sizing:border-box;&quot;&gt;&lt;span style=&quot;box-sizing:border-box;&quot;&gt;&lt;div style=&quot;box-sizing:border-box;&quot;&gt;Step 3: &lt;span style=&quot;display:inline !important;&quot;&gt;Navigate to the ‘&lt;span style=&quot;box-sizing:border-box;&quot;&gt;CSA Role Basics&amp;nbsp;&lt;/span&gt;&lt;span style=&quot;box-sizing:border-box;&quot;&gt;button'.&lt;/span&gt;&lt;/span&gt; &lt;/div&gt;&lt;div style=&quot;box-sizing:border-box;&quot;&gt;&lt;span style=&quot;box-sizing:border-box;&quot;&gt;&lt;span style=&quot;box-sizing:border-box;&quot;&gt;Step 4:&lt;span style=&quot;box-sizing:border-box;&quot;&gt;&amp;nbsp;&lt;/span&gt;&lt;/span&gt;&lt;span style=&quot;display:inline !important;&quot;&gt;Verify whether&amp;nbsp;After applying text spacing, text is getting overlapped.&lt;/span&gt;&lt;br style=&quot;box-sizing:border-box;&quot;&gt;&lt;/span&gt; &lt;/div&gt;&lt;div style=&quot;box-sizing:border-box;&quot;&gt;&lt;span style=&quot;box-sizing:border-box;&quot;&gt;&lt;/span&gt; &lt;/div&gt;&lt;div style=&quot;box-sizing:border-box;&quot;&gt;&lt;span style=&quot;box-sizing:border-box;&quot;&gt;&lt;/span&gt; &lt;/div&gt;&lt;div style=&quot;box-sizing:border-box;&quot;&gt;&lt;span style=&quot;box-sizing:border-box;&quot;&gt;&lt;span style=&quot;box-sizing:border-box;font-family:Calibri, sans-serif;font-size:14.6667px;display:inline !important;&quot;&gt;&lt;span style=&quot;box-sizing:border-box;font-size:14px;display:inline !important;&quot;&gt;&lt;br style=&quot;box-sizing:border-box;&quot;&gt;&lt;/span&gt;&lt;/span&gt;&lt;/span&gt; &lt;/div&gt;&lt;/span&gt; &lt;/div&gt; &lt;/div&gt; &lt;/div&gt; &lt;/div&gt;&lt;div style=&quot;box-sizing:border-box;font-weight:400;&quot;&gt;&lt;div style=&quot;box-sizing:border-box;&quot;&gt;&lt;div style=&quot;box-sizing:border-box;&quot;&gt;&lt;b style=&quot;box-sizing:border-box;&quot;&gt;&lt;/b&gt; &lt;/div&gt; &lt;/div&gt; &lt;/div&gt;&lt;div style=&quot;box-sizing:border-box;font-weight:400;&quot;&gt;&lt;div style=&quot;box-sizing:border-box;&quot;&gt;&lt;div style=&quot;box-sizing:border-box;&quot;&gt;&lt;b style=&quot;box-sizing:border-box;&quot;&gt;Actual Result:&lt;/b&gt;&lt;br style=&quot;box-sizing:border-box;&quot;&gt; &lt;/div&gt; &lt;/div&gt; &lt;/div&gt;&lt;div style=&quot;box-sizing:border-box;font-weight:400;&quot;&gt; &lt;/div&gt;&lt;div style=&quot;box-sizing:border-box;font-weight:400;&quot;&gt;&lt;b style=&quot;box-sizing:border-box;&quot;&gt;&lt;span style=&quot;box-sizing:border-box;display:inline !important;&quot;&gt;&lt;/span&gt;&lt;/b&gt; &lt;/div&gt;&lt;div style=&quot;box-sizing:border-box;font-weight:400;&quot;&gt; &lt;/div&gt;&lt;div style=&quot;box-sizing:border-box;&quot;&gt;&lt;div style=&quot;font-weight:400;box-sizing:border-box;&quot;&gt; &lt;/div&gt; &lt;/div&gt;&lt;div style=&quot;box-sizing:border-box;&quot;&gt; &lt;/div&gt;&lt;div&gt;After applying text spacing, text is getting overlapped. &lt;/div&gt;&lt;div&gt;Observation: 4 out of 5,E-learning,30 min text is getting overlapped. &lt;/div&gt;&lt;div style=&quot;box-sizing:border-box;&quot;&gt;&lt;span&gt;&lt;/span&gt; &lt;/div&gt;&lt;div style=&quot;box-sizing:border-box;font-weight:400;&quot;&gt;&lt;br style=&quot;box-sizing:border-box;&quot;&gt; &lt;/div&gt;&lt;div style=&quot;box-sizing:border-box;&quot;&gt;&lt;div style=&quot;font-weight:400;box-sizing:border-box;&quot;&gt; &lt;/div&gt;&lt;div style=&quot;box-sizing:border-box;&quot;&gt;&lt;b style=&quot;box-sizing:border-box;&quot;&gt;Expected Result:&lt;br style=&quot;box-sizing:border-box;&quot;&gt;&lt;/b&gt;&lt;div style=&quot;font-weight:400;box-sizing:border-box;&quot;&gt;&lt;div style=&quot;box-sizing:border-box;&quot;&gt;&lt;span style=&quot;display:inline !important;&quot;&gt;&lt;span style=&quot;display:inline !important;&quot;&gt;&lt;span style=&quot;font-family:&amp;quot;Segoe UI&amp;quot;, system-ui, &amp;quot;Apple Color Emoji&amp;quot;, &amp;quot;Segoe UI Emoji&amp;quot;, sans-serif;display:inline !important;&quot;&gt;&lt;/span&gt;&lt;/span&gt;&lt;/span&gt; &lt;/div&gt; &lt;/div&gt;After applying text spacing, text should not get overlapped.&lt;span style=&quot;box-sizing:border-box;display:inline !important;&quot;&gt;&lt;/span&gt;&lt;div style=&quot;box-sizing:border-box;&quot;&gt;&lt;div style=&quot;box-sizing:border-box;&quot;&gt;&lt;br style=&quot;box-sizing:border-box;&quot;&gt; &lt;/div&gt;&lt;div style=&quot;box-sizing:border-box;&quot;&gt;&lt;div style=&quot;box-sizing:border-box;font-family:&amp;quot;Segoe UI&amp;quot;, system-ui, &amp;quot;Apple Color Emoji&amp;quot;, &amp;quot;Segoe UI Emoji&amp;quot;, sans-serif;&quot;&gt;&lt;b style=&quot;box-sizing:border-box;&quot;&gt;&lt;/b&gt; &lt;/div&gt;&lt;div style=&quot;box-sizing:border-box;font-family:&amp;quot;Segoe UI&amp;quot;, system-ui, &amp;quot;Apple Color Emoji&amp;quot;, &amp;quot;Segoe UI Emoji&amp;quot;, sans-serif;&quot;&gt;&lt;div style=&quot;box-sizing:border-box;&quot;&gt;&lt;b style=&quot;box-sizing:border-box;&quot;&gt;&lt;/b&gt; &lt;/div&gt;&lt;div style=&quot;box-sizing:border-box;&quot;&gt;&lt;div style=&quot;box-sizing:border-box;&quot;&gt;&lt;b style=&quot;box-sizing:border-box;&quot;&gt;&lt;/b&gt; &lt;/div&gt;&lt;div style=&quot;box-sizing:border-box;&quot;&gt;&lt;div style=&quot;box-sizing:border-box;font-weight:400;&quot;&gt;&lt;b style=&quot;box-sizing:border-box;&quot;&gt;MAS Reference:&lt;/b&gt;&lt;br style=&quot;box-sizing:border-box;&quot;&gt; &lt;/div&gt;&lt;div style=&quot;box-sizing:border-box;font-weight:400;&quot;&gt;&lt;a href=&quot;https://microsoft.sharepoint.com/:w:/s/accessibility/ESMCYvueTbpLiCKtMKSZ-34Bdu0drfF_ejXBl7joPfKAJw?e=jztpGf&quot; style=&quot;box-sizing:border-box;text-decoration:underline;cursor:pointer;&quot;&gt;MAS 1.4.12 – Text Spacing&lt;/a&gt;&amp;nbsp; &lt;/div&gt;&lt;div style=&quot;box-sizing:border-box;font-weight:400;&quot;&gt;&lt;br style=&quot;box-sizing:border-box;letter-spacing:0.12em !important;word-spacing:0.16em !important;&quot;&gt; &lt;/div&gt;&lt;div style=&quot;box-sizing:border-box;font-weight:400;&quot;&gt;&lt;b style=&quot;box-sizing:border-box;&quot;&gt;WCAG Reference:&lt;/b&gt; &lt;/div&gt;&lt;div style=&quot;box-sizing:border-box;font-weight:400;&quot;&gt;&lt;a href=&quot;https://www.w3.org/WAI/WCAG21/Understanding/text-spacing.html&quot; style=&quot;box-sizing:border-box;text-decoration:underline;cursor:pointer;&quot;&gt;https://www.w3.org/WAI/WCAG21/Understanding/text-spacing.html&lt;/a&gt; &lt;/div&gt; &lt;/div&gt; &lt;/div&gt; &lt;/div&gt; &lt;/div&gt; &lt;/div&gt; &lt;/div&gt; &lt;/div&gt;&lt;div&gt;&lt;div&gt; &lt;/div&gt; &lt;/div&gt;&lt;div style=&quot;box-sizing:border-box;font-weight:400;&quot;&gt;&lt;div style=&quot;box-sizing:border-box;&quot;&gt;&lt;div style=&quot;box-sizing:border-box;&quot;&gt;&lt;div style=&quot;box-sizing:border-box;&quot;&gt; &lt;/div&gt; &lt;/div&gt; &lt;/div&gt; &lt;/div&gt;"/>
    <s v="Si"/>
    <x v="0"/>
    <s v="William Pena "/>
  </r>
  <r>
    <n v="1517633"/>
    <s v="Bug"/>
    <s v="[Keyboard Navigation - OLP Power Apps - Content page]: Keyboard focus indicator is overlying with 'Microsoft' control while navigating using tab or shift tab key."/>
    <s v="New"/>
    <s v="Enrique Monsalve &lt;v-monsalvee@microsoft.com&gt;"/>
    <s v="No revisado"/>
    <s v="William"/>
    <s v="Completado"/>
    <s v="A11y-1STPARTY; A11yMAS; A11yMASP3; CommonBrowsers; HCL; HCL_OLP - MayJune FY22 New Update; MAS 2.4.7; NewBaselineAssessment; RecID_8303"/>
    <s v="Este punto no tiene que ver con PowerApps sino con el navegador Edge o Chrome."/>
    <x v="2"/>
    <s v="&lt;div style=&quot;box-sizing:border-box;&quot;&gt;&lt;b&gt;&lt;/b&gt; &lt;/div&gt;&lt;div&gt;&lt;b&gt;PWD Impact:&amp;nbsp;&lt;/b&gt;&lt;br style=&quot;box-sizing:border-box;&quot;&gt; &lt;/div&gt;&lt;div&gt; &lt;/div&gt;&lt;div&gt; &lt;/div&gt;&lt;div&gt;Users who depend on the keyboard for navigation will be impacted if k&lt;span style=&quot;color:rgb(36, 36, 36);font-family:-apple-system, BlinkMacSystemFont, &amp;quot;Segoe UI&amp;quot;, system-ui, &amp;quot;Apple Color Emoji&amp;quot;, &amp;quot;Segoe UI Emoji&amp;quot;, &amp;quot;Segoe UI Web&amp;quot;, sans-serif;font-size:14.6667px;display:inline !important;&quot;&gt;eyboard focus indicator is overlying with 'Microsoft' control. S&lt;/span&gt;o that they will miss the desired task.&lt;br&gt; &lt;/div&gt;&lt;div&gt; &lt;/div&gt;&lt;div&gt;&lt;br style=&quot;box-sizing:border-box;&quot;&gt; &lt;/div&gt;&lt;div&gt; &lt;/div&gt;&lt;div&gt; &lt;/div&gt;&lt;div&gt;&lt;b&gt;Test Environment:&lt;/b&gt;&lt;br style=&quot;box-sizing:border-box;&quot;&gt; &lt;/div&gt;&lt;div&gt; &lt;/div&gt;&lt;div&gt; &lt;/div&gt;&lt;div&gt; &lt;/div&gt;&lt;div&gt; &lt;/div&gt;&lt;div&gt; &lt;/div&gt;&lt;div&gt; &lt;/div&gt;&lt;div&gt; &lt;/div&gt;&lt;div&gt; &lt;/div&gt;&lt;div&gt;OS: Windows 11 [Version 21H2 (OS Build 22000.675)]&lt;br style=&quot;box-sizing:border-box;&quot;&gt; &lt;/div&gt;&lt;div&gt;Browser: Edge Chromium (102.0.1245.30), Chrome (102.0.5005.63) &lt;/div&gt;&lt;div&gt;URL:&amp;nbsp;&lt;a href=&quot;https://apps.preview.powerapps.com/play/e/aa1775d6-89ae-47fb-b2cd-ebeb56163da6/a/347399e1-18ec-4002-aa22-c0285a367aaf?tenantId=72f988bf-86f1-41af-91ab-2d7cd011db47&quot;&gt;Onboarding App - Content - Power Apps&lt;/a&gt;&lt;br style=&quot;box-sizing:border-box;&quot;&gt; &lt;/div&gt;&lt;div&gt; &lt;/div&gt;&lt;div&gt; &lt;/div&gt;&lt;div&gt; &lt;/div&gt;&lt;div&gt; &lt;/div&gt;&lt;div&gt;&lt;br&gt; &lt;/div&gt;&lt;div&gt; &lt;/div&gt;&lt;div&gt; &lt;/div&gt;&lt;div&gt;&lt;b&gt;Repro Steps:&lt;/b&gt;&lt;br style=&quot;box-sizing:border-box;&quot;&gt; &lt;/div&gt;&lt;div&gt; &lt;/div&gt;&lt;div&gt; &lt;/div&gt;&lt;div&gt;&lt;div&gt; &lt;/div&gt;&lt;div&gt; &lt;/div&gt;&lt;div&gt; &lt;/div&gt;&lt;div&gt;Step 1:&amp;nbsp;Open the above URL in Edge Chromium Browser or chrome browser. &lt;/div&gt; &lt;/div&gt;&lt;div&gt; &lt;/div&gt;&lt;div&gt; &lt;/div&gt;&lt;div&gt; &lt;/div&gt;&lt;div&gt; &lt;/div&gt;&lt;div&gt;Step 2: 'Onboarding App - Content Page - Power Apps' page will appear.&amp;nbsp; &lt;/div&gt;&lt;div&gt;Step 3: Navigate to the 'Microsoft' control. &lt;/div&gt;&lt;div&gt; &lt;/div&gt;&lt;div&gt;Step 4:&amp;nbsp;Verify whether keyboard focus indicator is overlying on 'Microsoft' control or not. &lt;br&gt; &lt;/div&gt;&lt;div&gt;&lt;div&gt; &lt;/div&gt;&lt;div&gt; &lt;/div&gt;&lt;div&gt; &lt;/div&gt;&lt;div&gt;&lt;br style=&quot;box-sizing:border-box;&quot;&gt; &lt;/div&gt;&lt;div&gt; &lt;/div&gt; &lt;/div&gt;&lt;div&gt; &lt;/div&gt;&lt;div&gt; &lt;/div&gt;&lt;div&gt; &lt;/div&gt;&lt;div&gt; &lt;/div&gt;&lt;div&gt; &lt;/div&gt;&lt;div&gt; &lt;/div&gt;&lt;div&gt; &lt;/div&gt;&lt;div&gt;&lt;b&gt;Actual Result:&lt;/b&gt; &lt;/div&gt;&lt;div&gt;Keyboard focus indicator is overlying with 'Microsoft' control while navigating using tab or shift tab key.  &lt;br&gt; &lt;/div&gt;&lt;div&gt; &lt;/div&gt;&lt;div&gt; &lt;/div&gt;&lt;div&gt;&lt;b&gt;Observation:&lt;/b&gt; Keyboard focus indicator is overlying with letter 't' in 'Microsoft'.&lt;br&gt; &lt;/div&gt;&lt;div&gt; &lt;/div&gt;&lt;div&gt;&lt;br&gt; &lt;/div&gt;&lt;div&gt; &lt;/div&gt;&lt;div&gt; &lt;/div&gt;&lt;div&gt; &lt;/div&gt;&lt;div&gt;&lt;b&gt;Expected Result:&lt;/b&gt;&lt;br style=&quot;box-sizing:border-box;&quot;&gt; &lt;/div&gt;&lt;div&gt; &lt;/div&gt;&lt;div&gt; &lt;/div&gt;&lt;div&gt;Keyboard focus indicator should not overly &lt;span style=&quot;display:inline !important;&quot;&gt;with 'Microsoft' control while navigating using tab or shift tab key.&lt;/span&gt;&lt;br&gt; &lt;/div&gt;&lt;div&gt;Ex:&amp;nbsp;Keyboard focus should be visible clearly on four sides without overlying on text.&lt;br&gt; &lt;/div&gt;&lt;div&gt;&lt;br&gt; &lt;/div&gt;&lt;div&gt; &lt;/div&gt;&lt;div&gt; &lt;/div&gt;&lt;div&gt; &lt;/div&gt;&lt;div&gt;&lt;div&gt; &lt;/div&gt;&lt;div&gt;&lt;b&gt;MAS Reference link:&lt;/b&gt;&lt;br style=&quot;box-sizing:border-box;&quot;&gt; &lt;/div&gt;&lt;div&gt;&lt;a href=&quot;https://aka.ms/MAS2.4.7&quot;&gt;MAS 2.4.7 – Focus Visible&lt;/a&gt;&lt;br style=&quot;box-sizing:border-box;&quot;&gt; &lt;/div&gt;&lt;div&gt;&lt;br style=&quot;box-sizing:border-box;&quot;&gt; &lt;/div&gt;&lt;div&gt;&lt;b&gt;WCAG Reference link:&lt;/b&gt;&lt;br style=&quot;box-sizing:border-box;&quot;&gt; &lt;/div&gt;&lt;div&gt;&lt;a href=&quot;https://www.w3.org/WAI/WCAG21/Understanding/focus-visible.html&quot;&gt;https://www.w3.org/WAI/WCAG21/Understanding/focus-visible.html&lt;/a&gt;&lt;br&gt; &lt;/div&gt; &lt;/div&gt;&lt;div style=&quot;box-sizing:border-box;font-weight:400;&quot;&gt;&lt;div style=&quot;box-sizing:border-box;&quot;&gt;&lt;div style=&quot;box-sizing:border-box;&quot;&gt;&lt;div style=&quot;box-sizing:border-box;&quot;&gt;&lt;span style=&quot;box-sizing:border-box;font-weight:bold;&quot;&gt;&lt;div style=&quot;box-sizing:border-box;font-weight:400;&quot;&gt;&lt;div style=&quot;box-sizing:border-box;&quot;&gt;&lt;div style=&quot;box-sizing:border-box;font-family:&amp;quot;Segoe UI&amp;quot;, system-ui, &amp;quot;Apple Color Emoji&amp;quot;, &amp;quot;Segoe UI Emoji&amp;quot;, sans-serif;margin:0px 0in;&quot;&gt; &lt;/div&gt;&lt;a href=&quot;https://www.w3.org/WAI/WCAG21/Understanding/reflow.html&quot; style=&quot;box-sizing:border-box;text-decoration:underline;cursor:pointer;font-family:&amp;quot;Segoe UI&amp;quot;, system-ui, &amp;quot;Apple Color Emoji&amp;quot;, &amp;quot;Segoe UI Emoji&amp;quot;, sans-serif;&quot;&gt;&lt;/a&gt; &lt;/div&gt; &lt;/div&gt;&lt;/span&gt; &lt;/div&gt; &lt;/div&gt; &lt;/div&gt; &lt;/div&gt;"/>
    <s v="Si"/>
    <x v="0"/>
    <s v="Enrique Monsalve "/>
  </r>
  <r>
    <n v="1518029"/>
    <s v="Bug"/>
    <s v="[Supporting the platform - OLP Power Apps - Content page]: After resizing the page at 400% zoom, multiple scrollbars appear on the page."/>
    <s v="New"/>
    <s v="Enrique Monsalve &lt;v-monsalvee@microsoft.com&gt;"/>
    <m/>
    <m/>
    <s v="En marcha"/>
    <s v="A11y-1STPARTY; A11yMAS; A11yMASP3; CommonBrowsers; HCL; HCL_OLP - MayJune FY22 New Update; MAS 1.4.10; NewBaselineAssessment; RecID_8303"/>
    <s v="Bug reactivado. REVISAR_x000a__x000a_Desactivamos desplazamiento vertical para algunos contenedores manteniendo funcionalidad de scroll, sin embargo las demas scroll bar se activan desde el navegador no desde la aplicación._x000a__x000a_FL: Sudheer va a pasar la solición. William porfa actualice el item en ADO (pedir la solución)."/>
    <x v="0"/>
    <s v="&lt;div style=&quot;box-sizing:border-box;&quot;&gt;&lt;b&gt;&lt;/b&gt; &lt;/div&gt;&lt;div style=&quot;box-sizing:border-box;&quot;&gt;&lt;b&gt;PWD Impact:&amp;nbsp;&lt;/b&gt;&lt;br&gt; &lt;/div&gt;&lt;div style=&quot;box-sizing:border-box;font-weight:400;&quot;&gt;&lt;span style=&quot;box-sizing:border-box;display:inline !important;&quot;&gt;&lt;span style=&quot;box-sizing:border-box;font-family:&amp;quot;Segoe UI&amp;quot;, sans-serif;display:inline !important;&quot;&gt;&lt;span style=&quot;box-sizing:border-box;display:inline !important;&quot;&gt;&lt;span style=&quot;display:inline !important;&quot;&gt;&lt;div style=&quot;box-sizing:border-box;&quot;&gt;&lt;span style=&quot;box-sizing:border-box;font-family:&amp;quot;Segoe UI&amp;quot;, sans-serif;display:inline !important;&quot;&gt;&lt;span style=&quot;box-sizing:border-box;display:inline !important;&quot;&gt;&lt;span style=&quot;box-sizing:border-box;font-family:&amp;quot;Segoe UI&amp;quot;, system-ui, &amp;quot;Apple Color Emoji&amp;quot;, &amp;quot;Segoe UI Emoji&amp;quot;, sans-serif;display:inline !important;&quot;&gt;If after resizing the page at 400% Zoom, three vertical scroll bars and one horizontal scroll bar appears on the page, the user with low vision gets affected as to read the content, user will have to scroll side and vertical ways.&lt;/span&gt;&lt;/span&gt;&lt;/span&gt; &lt;/div&gt;&lt;/span&gt;&lt;/span&gt;&lt;/span&gt;&lt;/span&gt; &lt;/div&gt;&lt;div style=&quot;box-sizing:border-box;font-weight:400;&quot;&gt;&lt;br style=&quot;box-sizing:border-box;&quot;&gt; &lt;/div&gt;&lt;div style=&quot;box-sizing:border-box;font-weight:400;&quot;&gt;&lt;div style=&quot;box-sizing:border-box;&quot;&gt; &lt;/div&gt;&lt;div style=&quot;box-sizing:border-box;&quot;&gt;&lt;b style=&quot;box-sizing:border-box;font-family:&amp;quot;Segoe UI&amp;quot;, sans-serif;&quot;&gt;Test Environment:&lt;/b&gt;&lt;br style=&quot;box-sizing:border-box;&quot;&gt; &lt;/div&gt;&lt;div style=&quot;box-sizing:border-box;&quot;&gt; &lt;/div&gt; &lt;/div&gt;&lt;div style=&quot;box-sizing:border-box;font-weight:400;&quot;&gt; &lt;/div&gt;&lt;div style=&quot;box-sizing:border-box;font-weight:400;&quot;&gt; &lt;/div&gt;&lt;div style=&quot;box-sizing:border-box;font-weight:400;&quot;&gt; &lt;/div&gt;&lt;div style=&quot;box-sizing:border-box;font-weight:400;&quot;&gt; &lt;/div&gt;&lt;p style=&quot;box-sizing:border-box;font-weight:400;margin:0in;&quot;&gt; &lt;/p&gt;&lt;span style=&quot;box-sizing:border-box;font-weight:400;&quot;&gt;&lt;/span&gt;&lt;span style=&quot;box-sizing:border-box;font-weight:400;&quot;&gt;&lt;/span&gt;&lt;span style=&quot;box-sizing:border-box;font-weight:400;&quot;&gt;OS: Windows 11 [Version 21H2 (OS Build 22000.675)]&lt;br style=&quot;box-sizing:border-box;&quot;&gt;&lt;/span&gt;&lt;div style=&quot;box-sizing:border-box;font-weight:400;&quot;&gt;Browser: Edge Chromium (102.0.1245.30), Chrome (102.0.5005.63) &lt;/div&gt;&lt;div style=&quot;box-sizing:border-box;font-weight:400;&quot;&gt;&lt;span style=&quot;box-sizing:border-box;&quot;&gt;URL:&amp;nbsp;&lt;a href=&quot;https://apps.preview.powerapps.com/play/e/aa1775d6-89ae-47fb-b2cd-ebeb56163da6/a/347399e1-18ec-4002-aa22-c0285a367aaf?tenantId=72f988bf-86f1-41af-91ab-2d7cd011db47&quot; style=&quot;box-sizing:border-box;text-decoration:underline;&quot;&gt;Onboarding App - Content - Power Apps&lt;/a&gt;&lt;/span&gt;&lt;br style=&quot;box-sizing:border-box;&quot;&gt; &lt;/div&gt;&lt;span style=&quot;box-sizing:border-box;font-weight:400;&quot;&gt;&lt;/span&gt;&lt;div style=&quot;box-sizing:border-box;font-weight:400;&quot;&gt; &lt;/div&gt;&lt;div style=&quot;box-sizing:border-box;font-weight:400;&quot;&gt; &lt;/div&gt;&lt;div style=&quot;box-sizing:border-box;font-weight:400;&quot;&gt;&lt;br style=&quot;box-sizing:border-box;&quot;&gt; &lt;/div&gt;&lt;div style=&quot;box-sizing:border-box;font-weight:400;&quot;&gt;&lt;span style=&quot;box-sizing:border-box;&quot;&gt;&lt;b style=&quot;box-sizing:border-box;&quot;&gt;&lt;/b&gt;&lt;/span&gt; &lt;/div&gt;&lt;p style=&quot;box-sizing:border-box;font-weight:400;margin:0in;&quot;&gt;&lt;span style=&quot;box-sizing:border-box;font-weight:bold;&quot;&gt;Pre-requisite:&lt;/span&gt; &lt;/p&gt;&lt;p style=&quot;box-sizing:border-box;font-weight:400;margin:0in;&quot;&gt;Step 1: Enable Display setting to a scale resolution of&lt;span&gt;&amp;nbsp;&lt;/span&gt;&lt;span style=&quot;box-sizing:border-box;display:inline !important;&quot;&gt;1280&amp;nbsp;&lt;/span&gt;* 1024 and update scaling to 100%. &lt;/p&gt;&lt;p style=&quot;box-sizing:border-box;font-weight:400;margin:0in;&quot;&gt;Step 2: Enable the browser setting to 400% Zoom mode. &lt;/p&gt;&lt;div style=&quot;box-sizing:border-box;font-weight:400;&quot;&gt;&lt;br&gt; &lt;/div&gt;&lt;div style=&quot;box-sizing:border-box;font-weight:400;&quot;&gt; &lt;/div&gt;&lt;div style=&quot;box-sizing:border-box;font-weight:400;&quot;&gt;&lt;p style=&quot;box-sizing:border-box;margin:0in;&quot;&gt;&lt;b style=&quot;box-sizing:border-box;&quot;&gt;Repro Steps:&lt;/b&gt;&lt;br style=&quot;box-sizing:border-box;&quot;&gt; &lt;/p&gt; &lt;/div&gt;&lt;div style=&quot;box-sizing:border-box;font-weight:400;&quot;&gt;&lt;div style=&quot;box-sizing:border-box;&quot;&gt;&lt;div style=&quot;box-sizing:border-box;&quot;&gt;&lt;div style=&quot;box-sizing:border-box;&quot;&gt;&lt;span style=&quot;box-sizing:border-box;&quot;&gt;&lt;div style=&quot;box-sizing:border-box;&quot;&gt; &lt;/div&gt;&lt;div style=&quot;box-sizing:border-box;&quot;&gt; &lt;/div&gt;&lt;div style=&quot;box-sizing:border-box;&quot;&gt; &lt;/div&gt;&lt;div style=&quot;box-sizing:border-box;&quot;&gt;Step 1:&lt;span style=&quot;box-sizing:border-box;&quot;&gt;&amp;nbsp;&lt;/span&gt;&lt;span style=&quot;box-sizing:border-box;color:rgb(36, 36, 36);font-family:-apple-system, BlinkMacSystemFont, &amp;quot;Segoe UI&amp;quot;, &amp;quot;Apple Color Emoji&amp;quot;, &amp;quot;Segoe UI Emoji&amp;quot;, &amp;quot;Segoe UI Web&amp;quot;, sans-serif;display:inline !important;&quot;&gt;Open the above URL in Edge Chromium Browser or chrome browser.&lt;/span&gt;&lt;span style=&quot;box-sizing:border-box;display:inline !important;&quot;&gt;&lt;/span&gt; &lt;/div&gt;&lt;/span&gt; &lt;/div&gt; &lt;/div&gt; &lt;/div&gt; &lt;/div&gt;&lt;div style=&quot;box-sizing:border-box;font-weight:400;&quot;&gt;Step 2: &lt;span style=&quot;display:inline !important;&quot;&gt;'Onboarding App - Content Page - Power Apps' page will appear.&amp;nbsp;&lt;/span&gt; &lt;/div&gt;&lt;div style=&quot;box-sizing:border-box;font-weight:400;&quot;&gt;&lt;div style=&quot;box-sizing:border-box;&quot;&gt;&lt;div style=&quot;box-sizing:border-box;&quot;&gt;&lt;div style=&quot;box-sizing:border-box;&quot;&gt;&lt;span style=&quot;box-sizing:border-box;&quot;&gt;&lt;div style=&quot;box-sizing:border-box;&quot;&gt;Step 3: Navigate on the page. &lt;/div&gt;&lt;div style=&quot;box-sizing:border-box;&quot;&gt;&lt;span style=&quot;box-sizing:border-box;&quot;&gt;&lt;span style=&quot;box-sizing:border-box;&quot;&gt;Step 4:&lt;span style=&quot;box-sizing:border-box;&quot;&gt;&amp;nbsp;Verify whether &lt;/span&gt;&lt;/span&gt;After resizing the page at 400% zoom, multiple scrollbars appear on the page&amp;nbsp;or not.&lt;br style=&quot;box-sizing:border-box;&quot;&gt;&lt;/span&gt; &lt;/div&gt;&lt;div style=&quot;box-sizing:border-box;&quot;&gt;&lt;span style=&quot;box-sizing:border-box;&quot;&gt;&lt;/span&gt; &lt;/div&gt;&lt;div style=&quot;box-sizing:border-box;&quot;&gt;&lt;span style=&quot;box-sizing:border-box;&quot;&gt;&lt;/span&gt; &lt;/div&gt;&lt;div style=&quot;box-sizing:border-box;&quot;&gt;&lt;span style=&quot;box-sizing:border-box;&quot;&gt;&lt;span style=&quot;box-sizing:border-box;font-family:Calibri, sans-serif;font-size:14.6667px;display:inline !important;&quot;&gt;&lt;span style=&quot;box-sizing:border-box;font-size:14px;display:inline !important;&quot;&gt;&lt;br style=&quot;box-sizing:border-box;&quot;&gt;&lt;/span&gt;&lt;/span&gt;&lt;/span&gt; &lt;/div&gt;&lt;/span&gt; &lt;/div&gt; &lt;/div&gt; &lt;/div&gt; &lt;/div&gt;&lt;div style=&quot;box-sizing:border-box;font-weight:400;&quot;&gt;&lt;div style=&quot;box-sizing:border-box;&quot;&gt;&lt;div style=&quot;box-sizing:border-box;&quot;&gt;&lt;b style=&quot;box-sizing:border-box;&quot;&gt;&lt;/b&gt; &lt;/div&gt; &lt;/div&gt; &lt;/div&gt;&lt;div style=&quot;box-sizing:border-box;font-weight:400;&quot;&gt;&lt;div style=&quot;box-sizing:border-box;&quot;&gt;&lt;div style=&quot;box-sizing:border-box;&quot;&gt;&lt;b style=&quot;box-sizing:border-box;&quot;&gt;Actual Result:&lt;/b&gt;&lt;br style=&quot;box-sizing:border-box;&quot;&gt; &lt;/div&gt; &lt;/div&gt; &lt;/div&gt;&lt;div style=&quot;box-sizing:border-box;font-weight:400;&quot;&gt; &lt;/div&gt;&lt;div style=&quot;box-sizing:border-box;font-weight:400;&quot;&gt;&lt;b style=&quot;box-sizing:border-box;&quot;&gt;&lt;span style=&quot;box-sizing:border-box;display:inline !important;&quot;&gt;&lt;/span&gt;&lt;/b&gt; &lt;/div&gt;&lt;div style=&quot;box-sizing:border-box;font-weight:400;&quot;&gt; &lt;/div&gt;&lt;div style=&quot;box-sizing:border-box;&quot;&gt;&lt;div style=&quot;font-weight:400;box-sizing:border-box;&quot;&gt;After resizing the page at 400% zoom, multiple scrollbars appear on the page. &lt;/div&gt;&lt;div style=&quot;box-sizing:border-box;&quot;&gt;&lt;b&gt;Observation: &lt;/b&gt;One horizontal scroll bar and three vertical scroll bars appear on the page. &lt;/div&gt; &lt;/div&gt;&lt;div style=&quot;box-sizing:border-box;&quot;&gt;&lt;br&gt; &lt;/div&gt;&lt;div style=&quot;box-sizing:border-box;&quot;&gt;&lt;div style=&quot;font-weight:400;box-sizing:border-box;&quot;&gt; &lt;/div&gt;&lt;div style=&quot;font-weight:400;box-sizing:border-box;&quot;&gt;&lt;b style=&quot;box-sizing:border-box;&quot;&gt;Expected Result:&lt;br style=&quot;box-sizing:border-box;&quot;&gt;&lt;/b&gt;&lt;div style=&quot;box-sizing:border-box;&quot;&gt;&lt;div style=&quot;box-sizing:border-box;&quot;&gt; &lt;/div&gt; &lt;/div&gt;&lt;span style=&quot;box-sizing:border-box;display:inline !important;&quot;&gt;&lt;/span&gt;&lt;span style=&quot;display:inline !important;&quot;&gt;After resizing the page at 400% zoom, should not appear&lt;span style=&quot;display:inline !important;&quot;&gt;&lt;span&gt;&amp;nbsp;&lt;/span&gt;multiple scrollbars&lt;/span&gt;&amp;nbsp;on the page.&lt;/span&gt;&lt;span style=&quot;box-sizing:border-box;display:inline !important;&quot;&gt;&lt;/span&gt; &lt;/div&gt;&lt;div style=&quot;box-sizing:border-box;&quot;&gt;&lt;span style=&quot;box-sizing:border-box;display:inline !important;&quot;&gt;&lt;span style=&quot;display:inline !important;&quot;&gt;&lt;b&gt;Ensure that&lt;/b&gt;, we have only one scroll bar.&lt;/span&gt;&lt;/span&gt; &lt;/div&gt;&lt;div style=&quot;box-sizing:border-box;&quot;&gt;&lt;br&gt; &lt;/div&gt;&lt;div style=&quot;box-sizing:border-box;&quot;&gt; &lt;/div&gt; &lt;/div&gt;&lt;div style=&quot;box-sizing:border-box;font-weight:400;&quot;&gt;&lt;div style=&quot;box-sizing:border-box;&quot;&gt;&lt;div style=&quot;box-sizing:border-box;&quot;&gt;&lt;div style=&quot;box-sizing:border-box;&quot;&gt;&lt;span style=&quot;box-sizing:border-box;font-weight:bold;&quot;&gt;&lt;div style=&quot;box-sizing:border-box;font-weight:400;&quot;&gt;&lt;div style=&quot;box-sizing:border-box;&quot;&gt;&lt;b style=&quot;box-sizing:border-box;&quot;&gt;&lt;/b&gt; &lt;/div&gt;&lt;div style=&quot;box-sizing:border-box;&quot;&gt;&lt;div style=&quot;box-sizing:border-box;font-family:&amp;quot;Segoe UI&amp;quot;, system-ui, &amp;quot;Apple Color Emoji&amp;quot;, &amp;quot;Segoe UI Emoji&amp;quot;, sans-serif;margin:0px 0in;&quot;&gt;&lt;span style=&quot;box-sizing:border-box;&quot;&gt;&lt;b style=&quot;box-sizing:border-box;&quot;&gt;MAS Reference:&lt;/b&gt;&lt;/span&gt; &lt;/div&gt;&lt;div style=&quot;box-sizing:border-box;font-family:&amp;quot;Segoe UI&amp;quot;, system-ui, &amp;quot;Apple Color Emoji&amp;quot;, &amp;quot;Segoe UI Emoji&amp;quot;, sans-serif;margin:0px 0in;&quot;&gt;&lt;span style=&quot;box-sizing:border-box;&quot;&gt;&lt;a href=&quot;https://microsoft.sharepoint.com/:w:/r/sites/accessibility/_layouts/15/Doc.aspx?sourcedoc=%7b01839D9A-2E1B-423E-B7FA-A9BAD43FD301%7d&amp;amp;file=MAS%201.4.10%20%E2%80%93%20Reflow.docx&amp;amp;wdLOR=cE644E791-4BD0-43AB-8EE6-07C443CBDD40&amp;amp;action=default&amp;amp;mobileredirect=true&quot; style=&quot;box-sizing:border-box;text-decoration:underline;cursor:pointer;&quot;&gt;MAS 1.4.10 – Reflow&lt;/a&gt;&lt;br style=&quot;box-sizing:border-box;&quot;&gt;&lt;/span&gt; &lt;/div&gt;&lt;div style=&quot;box-sizing:border-box;font-family:&amp;quot;Segoe UI&amp;quot;, system-ui, &amp;quot;Apple Color Emoji&amp;quot;, &amp;quot;Segoe UI Emoji&amp;quot;, sans-serif;margin:0px 0in;&quot;&gt;&lt;br style=&quot;box-sizing:border-box;&quot;&gt; &lt;/div&gt;&lt;div style=&quot;box-sizing:border-box;font-family:&amp;quot;Segoe UI&amp;quot;, system-ui, &amp;quot;Apple Color Emoji&amp;quot;, &amp;quot;Segoe UI Emoji&amp;quot;, sans-serif;margin:0px 0in;&quot;&gt;&lt;b style=&quot;box-sizing:border-box;&quot;&gt;WCAG Reference:&lt;/b&gt; &lt;/div&gt;&lt;div style=&quot;box-sizing:border-box;font-family:&amp;quot;Segoe UI&amp;quot;, system-ui, &amp;quot;Apple Color Emoji&amp;quot;, &amp;quot;Segoe UI Emoji&amp;quot;, sans-serif;margin:0px 0in;&quot;&gt;&lt;a href=&quot;https://www.w3.org/WAI/WCAG21/Understanding/non-text-content.html&quot; style=&quot;box-sizing:border-box;text-decoration:underline;cursor:pointer;&quot;&gt;&lt;span lang=en-IN style=&quot;box-sizing:border-box;&quot;&gt;&lt;/span&gt;&lt;/a&gt; &lt;/div&gt;&lt;a href=&quot;https://www.w3.org/WAI/WCAG21/Understanding/reflow.html&quot; style=&quot;box-sizing:border-box;text-decoration:underline;cursor:pointer;font-family:&amp;quot;Segoe UI&amp;quot;, system-ui, &amp;quot;Apple Color Emoji&amp;quot;, &amp;quot;Segoe UI Emoji&amp;quot;, sans-serif;&quot;&gt;https://www.w3.org/WAI/WCAG21/Understanding/reflow.html&lt;/a&gt; &lt;/div&gt; &lt;/div&gt;&lt;/span&gt; &lt;/div&gt; &lt;/div&gt; &lt;/div&gt; &lt;/div&gt;"/>
    <s v="No"/>
    <x v="4"/>
    <s v="William Pena "/>
  </r>
  <r>
    <n v="1517691"/>
    <s v="Bug"/>
    <s v="[Usable - OLP Power Apps - Content page]: 'Collapse All' button is visually appearing as normal text."/>
    <s v="New"/>
    <s v="Enrique Monsalve &lt;v-monsalvee@microsoft.com&gt;"/>
    <s v="No revisado"/>
    <m/>
    <s v="Completado"/>
    <s v="A11y-1STPARTY; A11yMASP3; A11yUsable; CommonScreenReaders; HCL; HCL_OLP - MayJune FY22 New Update; NewBaselineAssessment; RecID_8303"/>
    <s v="Completado, con Borde y Focus Border funcional para navegación con teclado. Funcional igual para Aquatic y Desert themes."/>
    <x v="1"/>
    <s v="&lt;div style=&quot;box-sizing:border-box;&quot;&gt;&lt;b&gt;&lt;/b&gt; &lt;/div&gt;&lt;div style=&quot;box-sizing:border-box;font-weight:400;&quot;&gt;&lt;b style=&quot;box-sizing:border-box;&quot;&gt;PWD Impact: -&lt;/b&gt;&lt;br style=&quot;box-sizing:border-box;&quot;&gt; &lt;/div&gt;&lt;div style=&quot;box-sizing:border-box;font-weight:400;&quot;&gt;&lt;span style=&quot;box-sizing:border-box;display:inline !important;&quot;&gt;&lt;span style=&quot;box-sizing:border-box;font-family:&amp;quot;Segoe UI&amp;quot;, sans-serif;display:inline !important;&quot;&gt;&lt;span style=&quot;box-sizing:border-box;display:inline !important;&quot;&gt;&lt;span style=&quot;display:inline !important;&quot;&gt;&lt;span style=&quot;display:inline !important;&quot;&gt;&lt;div style=&quot;box-sizing:border-box;&quot;&gt;&lt;span style=&quot;box-sizing:border-box;display:inline !important;&quot;&gt;&lt;span style=&quot;box-sizing:border-box;display:inline !important;&quot;&gt;&lt;span style=&quot;box-sizing:border-box;display:inline !important;&quot;&gt;&lt;span style=&quot;display:inline !important;&quot;&gt;&lt;span style=&quot;font-family:&amp;quot;Segoe UI&amp;quot;, sans-serif;display:inline !important;&quot;&gt;Cognitive users will face difficulty if&amp;nbsp;'Collapse All' seems to be plain text but programmatically defined as button.&lt;/span&gt;&lt;/span&gt;&lt;/span&gt;&lt;/span&gt;&lt;/span&gt; &lt;/div&gt;&lt;br&gt;&lt;/span&gt;&lt;/span&gt;&lt;/span&gt;&lt;/span&gt;&lt;/span&gt; &lt;/div&gt;&lt;div style=&quot;box-sizing:border-box;font-weight:400;&quot;&gt;&lt;b style=&quot;font-family:&amp;quot;Segoe UI&amp;quot;, sans-serif;&quot;&gt;Test Environment:&lt;/b&gt;&lt;br&gt; &lt;/div&gt;&lt;div style=&quot;box-sizing:border-box;font-weight:400;&quot;&gt;&lt;div style=&quot;box-sizing:border-box;&quot;&gt; &lt;/div&gt; &lt;/div&gt;&lt;div style=&quot;box-sizing:border-box;font-weight:400;&quot;&gt; &lt;/div&gt;&lt;div style=&quot;box-sizing:border-box;font-weight:400;&quot;&gt; &lt;/div&gt;&lt;div style=&quot;box-sizing:border-box;font-weight:400;&quot;&gt; &lt;/div&gt;&lt;div style=&quot;box-sizing:border-box;font-weight:400;&quot;&gt; &lt;/div&gt;&lt;p style=&quot;box-sizing:border-box;font-weight:400;margin:0in;&quot;&gt; &lt;/p&gt;&lt;span style=&quot;box-sizing:border-box;font-weight:400;&quot;&gt;&lt;/span&gt;&lt;span style=&quot;box-sizing:border-box;font-weight:400;&quot;&gt;&lt;/span&gt;&lt;span style=&quot;box-sizing:border-box;font-weight:400;&quot;&gt;OS: Windows 11 [Version 21H2 (OS Build 22000.675)]&lt;br style=&quot;box-sizing:border-box;&quot;&gt;&lt;/span&gt;&lt;div style=&quot;box-sizing:border-box;font-weight:400;&quot;&gt;Browser: Edge Chromium (102.0.1245.30), Chrome (102.0.5005.63 &lt;/div&gt;&lt;div style=&quot;box-sizing:border-box;font-weight:400;&quot;&gt;&lt;span style=&quot;box-sizing:border-box;&quot;&gt;URL:&amp;nbsp;&lt;a href=&quot;https://apps.preview.powerapps.com/play/e/aa1775d6-89ae-47fb-b2cd-ebeb56163da6/a/347399e1-18ec-4002-aa22-c0285a367aaf?tenantId=72f988bf-86f1-41af-91ab-2d7cd011db47&quot;&gt;Onboarding App - Content - Power Apps&lt;/a&gt;&lt;/span&gt; &lt;/div&gt;&lt;div&gt; &lt;/div&gt;&lt;div&gt;&lt;br style=&quot;box-sizing:border-box;&quot;&gt; &lt;/div&gt;&lt;div style=&quot;box-sizing:border-box;font-weight:400;&quot;&gt; &lt;/div&gt;&lt;div style=&quot;box-sizing:border-box;font-weight:400;&quot;&gt;&lt;b&gt;Repro Steps:&lt;/b&gt;&lt;br&gt; &lt;/div&gt;&lt;div style=&quot;box-sizing:border-box;font-weight:400;&quot;&gt;&lt;div style=&quot;box-sizing:border-box;&quot;&gt;&lt;div style=&quot;box-sizing:border-box;&quot;&gt;&lt;div style=&quot;box-sizing:border-box;&quot;&gt;&lt;span style=&quot;box-sizing:border-box;&quot;&gt;&lt;div style=&quot;box-sizing:border-box;&quot;&gt; &lt;/div&gt;&lt;div style=&quot;box-sizing:border-box;&quot;&gt; &lt;/div&gt;&lt;div style=&quot;box-sizing:border-box;&quot;&gt; &lt;/div&gt;&lt;div style=&quot;box-sizing:border-box;&quot;&gt;Step 1:&lt;span style=&quot;box-sizing:border-box;&quot;&gt;&amp;nbsp;&lt;/span&gt;&lt;span style=&quot;box-sizing:border-box;color:rgb(36, 36, 36);font-family:-apple-system, BlinkMacSystemFont, &amp;quot;Segoe UI&amp;quot;, &amp;quot;Apple Color Emoji&amp;quot;, &amp;quot;Segoe UI Emoji&amp;quot;, &amp;quot;Segoe UI Web&amp;quot;, sans-serif;display:inline !important;&quot;&gt;Open the above URL in Edge Chromium Browser or chrome browser.&lt;/span&gt;&lt;span style=&quot;box-sizing:border-box;display:inline !important;&quot;&gt;&lt;/span&gt; &lt;/div&gt;&lt;/span&gt; &lt;/div&gt; &lt;/div&gt; &lt;/div&gt; &lt;/div&gt;&lt;div&gt;Step 2: 'Onboarding App - Content - Power Apps' page will appear.&amp;nbsp; &lt;/div&gt;&lt;div&gt;&lt;div&gt;Step 3: Navigate to 'Collapse All' control. &lt;/div&gt; &lt;/div&gt;&lt;div style=&quot;box-sizing:border-box;font-weight:400;&quot;&gt;&lt;div style=&quot;box-sizing:border-box;&quot;&gt;&lt;div style=&quot;box-sizing:border-box;&quot;&gt;&lt;div style=&quot;box-sizing:border-box;&quot;&gt;&lt;span style=&quot;box-sizing:border-box;&quot;&gt;&lt;div style=&quot;box-sizing:border-box;&quot;&gt;&lt;span style=&quot;box-sizing:border-box;&quot;&gt;&lt;span style=&quot;box-sizing:border-box;&quot;&gt;Step 4:&lt;span style=&quot;box-sizing:border-box;&quot;&gt;&amp;nbsp;Verify whether &lt;/span&gt;&lt;/span&gt;'Collapse All' button is visually appearing as normal text&amp;nbsp;or not.&lt;br style=&quot;box-sizing:border-box;&quot;&gt;&lt;/span&gt; &lt;/div&gt;&lt;div style=&quot;box-sizing:border-box;&quot;&gt;&lt;span style=&quot;box-sizing:border-box;&quot;&gt;&lt;/span&gt; &lt;/div&gt;&lt;div style=&quot;box-sizing:border-box;&quot;&gt;&lt;span style=&quot;box-sizing:border-box;&quot;&gt;&lt;/span&gt; &lt;/div&gt;&lt;div style=&quot;box-sizing:border-box;&quot;&gt;&lt;span style=&quot;box-sizing:border-box;&quot;&gt;&lt;span style=&quot;box-sizing:border-box;font-family:Calibri, sans-serif;font-size:14.6667px;display:inline !important;&quot;&gt;&lt;span style=&quot;box-sizing:border-box;font-size:14px;display:inline !important;&quot;&gt;&lt;br style=&quot;box-sizing:border-box;&quot;&gt;&lt;/span&gt;&lt;/span&gt;&lt;/span&gt; &lt;/div&gt;&lt;/span&gt; &lt;/div&gt; &lt;/div&gt; &lt;/div&gt; &lt;/div&gt;&lt;div style=&quot;box-sizing:border-box;font-weight:400;&quot;&gt;&lt;div style=&quot;box-sizing:border-box;&quot;&gt;&lt;div style=&quot;box-sizing:border-box;&quot;&gt;&lt;b style=&quot;box-sizing:border-box;&quot;&gt;&lt;/b&gt; &lt;/div&gt; &lt;/div&gt; &lt;/div&gt;&lt;div style=&quot;box-sizing:border-box;font-weight:400;&quot;&gt;&lt;div style=&quot;box-sizing:border-box;&quot;&gt;&lt;div style=&quot;box-sizing:border-box;&quot;&gt;&lt;b style=&quot;box-sizing:border-box;&quot;&gt;Actual Result:&lt;/b&gt;&lt;br style=&quot;box-sizing:border-box;&quot;&gt; &lt;/div&gt; &lt;/div&gt; &lt;/div&gt;&lt;div style=&quot;box-sizing:border-box;font-weight:400;&quot;&gt; &lt;/div&gt;&lt;div style=&quot;box-sizing:border-box;font-weight:400;&quot;&gt;&lt;b style=&quot;box-sizing:border-box;&quot;&gt;&lt;span style=&quot;box-sizing:border-box;display:inline !important;&quot;&gt;&lt;/span&gt;&lt;/b&gt; &lt;/div&gt;&lt;div style=&quot;box-sizing:border-box;font-weight:400;&quot;&gt; &lt;/div&gt;&lt;div style=&quot;box-sizing:border-box;&quot;&gt;&lt;div style=&quot;font-weight:400;box-sizing:border-box;&quot;&gt;&lt;span style=&quot;display:inline !important;&quot;&gt;'Collapse_x000a_all' seems to be plain text but programmatically defined as button.&lt;/span&gt; &lt;/div&gt;&lt;div style=&quot;box-sizing:border-box;&quot;&gt;&lt;b&gt;Observation:&lt;/b&gt; &lt;/div&gt;&lt;div style=&quot;box-sizing:border-box;&quot;&gt;Visually 'Collapse All' appears as plain text but programatically defined as button. &lt;/div&gt; &lt;/div&gt;&lt;div style=&quot;box-sizing:border-box;&quot;&gt;&lt;br&gt; &lt;/div&gt;&lt;div style=&quot;box-sizing:border-box;&quot;&gt;&lt;div style=&quot;font-weight:400;box-sizing:border-box;&quot;&gt; &lt;/div&gt;&lt;div style=&quot;box-sizing:border-box;&quot;&gt;&lt;b style=&quot;box-sizing:border-box;&quot;&gt;Expected Result:&lt;br style=&quot;box-sizing:border-box;&quot;&gt;&lt;/b&gt;&lt;div style=&quot;font-weight:400;box-sizing:border-box;&quot;&gt;&lt;div style=&quot;box-sizing:border-box;&quot;&gt;&lt;span style=&quot;display:inline !important;&quot;&gt;&lt;/span&gt; &lt;/div&gt; &lt;/div&gt;&lt;div style=&quot;box-sizing:border-box;&quot;&gt;&lt;div style=&quot;box-sizing:border-box;&quot;&gt; &lt;/div&gt; &lt;/div&gt; &lt;/div&gt; &lt;/div&gt;&lt;span style=&quot;display:inline !important;&quot;&gt;&lt;/span&gt;&lt;div style=&quot;box-sizing:border-box;&quot;&gt;'&lt;span style=&quot;display:inline !important;&quot;&gt;Collapse all&lt;/span&gt;' button&lt;span&gt;&amp;nbsp;&lt;/span&gt;&lt;span style=&quot;box-sizing:border-box;display:inline !important;&quot;&gt;Should not&amp;nbsp;&lt;/span&gt;visually appear as normal text. &lt;/div&gt;&lt;div style=&quot;box-sizing:border-box;&quot;&gt;&lt;span style=&quot;box-sizing:border-box;display:inline !important;&quot;&gt;'&lt;span style=&quot;display:inline !important;&quot;&gt;Collapse all&lt;/span&gt;' button should be visible as button.u&lt;/span&gt; &lt;/div&gt;&lt;div&gt;&lt;div style=&quot;box-sizing:border-box;font-weight:400;&quot;&gt;&lt;div style=&quot;box-sizing:border-box;&quot;&gt;&lt;div style=&quot;box-sizing:border-box;&quot;&gt;&lt;div style=&quot;box-sizing:border-box;&quot;&gt;&lt;span style=&quot;box-sizing:border-box;font-weight:bold;&quot;&gt;&lt;div style=&quot;box-sizing:border-box;font-weight:400;&quot;&gt;&lt;div style=&quot;box-sizing:border-box;&quot;&gt;&lt;div style=&quot;box-sizing:border-box;&quot;&gt;&lt;span style=&quot;box-sizing:border-box;font-weight:bold;&quot;&gt;&lt;div style=&quot;box-sizing:border-box;font-weight:400;&quot;&gt; &lt;/div&gt;&lt;/span&gt; &lt;/div&gt; &lt;/div&gt; &lt;/div&gt;&lt;/span&gt; &lt;/div&gt; &lt;/div&gt; &lt;/div&gt; &lt;/div&gt; &lt;/div&gt;"/>
    <s v="Si"/>
    <x v="0"/>
    <s v="William Pena "/>
  </r>
  <r>
    <n v="1517727"/>
    <s v="Bug"/>
    <s v="[Keyboard Navigation - OLP Power Apps - Content page]: Keyboard focus is unnecessarily moving to whole tile section upon activating 'Collapse All' or 'Expand All' control."/>
    <s v="New"/>
    <s v="Enrique Monsalve &lt;v-monsalvee@microsoft.com&gt;"/>
    <s v="No revisado"/>
    <m/>
    <s v="Completado"/>
    <s v="A11y-1STPARTY; A11yMAS; A11yMASP3; CommonBrowsers; HCL; HCL_OLP - MayJune FY22 New Update; MAS 2.4.3; NewBaselineAssessment; RecID_8303"/>
    <m/>
    <x v="1"/>
    <s v="&lt;div style=&quot;box-sizing:border-box;&quot;&gt;&lt;b&gt;&lt;/b&gt; &lt;/div&gt;&lt;div&gt;&lt;b&gt;PWD Impact:&amp;nbsp;&lt;/b&gt;&lt;br style=&quot;box-sizing:border-box;&quot;&gt; &lt;/div&gt;&lt;div&gt; &lt;/div&gt;&lt;div&gt; &lt;/div&gt;&lt;div&gt;&lt;div style=&quot;box-sizing:border-box;font-family:&amp;quot;Segoe UI&amp;quot;, sans-serif;&quot;&gt;&lt;span style=&quot;display:inline !important;&quot;&gt;&lt;span style=&quot;display:inline !important;&quot;&gt;As keyboard focus unnecessary moves to the whole tile section while navigating using tab/shift-tab key, keyboard users will find it difficult to understand the context of control.&lt;/span&gt;&lt;/span&gt;&lt;br&gt; &lt;/div&gt;&lt;div style=&quot;box-sizing:border-box;font-family:&amp;quot;Segoe UI&amp;quot;, sans-serif;&quot;&gt;&lt;span style=&quot;display:inline !important;&quot;&gt;&lt;br&gt;&lt;/span&gt; &lt;/div&gt;&lt;b&gt;Test Environment:&lt;/b&gt;&lt;br&gt; &lt;/div&gt;&lt;div&gt; &lt;/div&gt;&lt;div&gt; &lt;/div&gt;&lt;div&gt; &lt;/div&gt;&lt;div&gt; &lt;/div&gt;&lt;div&gt; &lt;/div&gt;&lt;div&gt; &lt;/div&gt;&lt;div&gt; &lt;/div&gt;&lt;div&gt; &lt;/div&gt;&lt;div&gt;OS: Windows 11 [Version 21H2 (OS Build 22000.675)]&lt;br style=&quot;box-sizing:border-box;&quot;&gt; &lt;/div&gt;&lt;div&gt;Browser: Edge Chromium (102.0.1245.30), Chrome (102.0.5005.63) &lt;/div&gt;&lt;div&gt;&lt;span&gt;URL:&amp;nbsp;&lt;/span&gt;&lt;a href=&quot;https://apps.preview.powerapps.com/play/e/aa1775d6-89ae-47fb-b2cd-ebeb56163da6/a/347399e1-18ec-4002-aa22-c0285a367aaf?tenantId=72f988bf-86f1-41af-91ab-2d7cd011db47&quot;&gt;Onboarding App - Content - Power Apps&lt;/a&gt;&lt;br&gt; &lt;/div&gt;&lt;div&gt; &lt;/div&gt;&lt;div&gt; &lt;/div&gt;&lt;div&gt; &lt;/div&gt;&lt;div&gt; &lt;/div&gt;&lt;div&gt;&lt;br&gt; &lt;/div&gt;&lt;div&gt; &lt;/div&gt;&lt;div&gt; &lt;/div&gt;&lt;div&gt;&lt;b&gt;Repro Steps:&lt;/b&gt;&lt;br style=&quot;box-sizing:border-box;&quot;&gt; &lt;/div&gt;&lt;div&gt; &lt;/div&gt;&lt;div&gt; &lt;/div&gt;&lt;div&gt;&lt;div&gt; &lt;/div&gt;&lt;div&gt; &lt;/div&gt;&lt;div&gt; &lt;/div&gt;&lt;div&gt;Step 1:&amp;nbsp;Open the above URL in Edge Chromium Browser or chrome browser. &lt;/div&gt; &lt;/div&gt;&lt;div&gt; &lt;/div&gt;&lt;div&gt; &lt;/div&gt;&lt;div&gt; &lt;/div&gt;&lt;div&gt; &lt;/div&gt;&lt;div&gt;Step 2: 'Onboarding App - Content Page - Power Apps' page will appear. &lt;/div&gt;&lt;div&gt;&lt;span style=&quot;display:inline !important;&quot;&gt;Step 3:&amp;nbsp;&lt;/span&gt;&lt;span style=&quot;box-sizing:border-box;&quot;&gt;Navigate to 'Collapse All / Expand All' and invoke it.&lt;/span&gt;&lt;br&gt; &lt;/div&gt;&lt;div&gt;&lt;span&gt;Step 4:&amp;nbsp;&lt;/span&gt;&lt;span style=&quot;display:inline !important;&quot;&gt;Verify whether keyboard focus is moving to whole tile section upon activating 'Collapse All' or 'Expand All' control&amp;nbsp;or not.&lt;/span&gt;&lt;span&gt;&lt;/span&gt;&lt;br&gt; &lt;/div&gt;&lt;div&gt;&lt;div&gt; &lt;/div&gt;&lt;div&gt; &lt;/div&gt;&lt;div&gt; &lt;/div&gt;&lt;div&gt;&lt;b&gt;&lt;br&gt;&lt;/b&gt; &lt;/div&gt;&lt;div&gt;&lt;b&gt;Actual Result:&lt;/b&gt;&lt;br&gt; &lt;/div&gt; &lt;/div&gt;&lt;div&gt;&lt;span style=&quot;display:inline !important;&quot;&gt;Keyboard focus is unnecessarily moving to whole tile section upon activating 'Collapse All' or 'Expand All' control.&lt;/span&gt;&lt;br&gt; &lt;/div&gt;&lt;div&gt; &lt;/div&gt;&lt;div&gt; &lt;/div&gt;&lt;div&gt;&lt;b&gt;Observation:&amp;nbsp;&lt;span style=&quot;font-weight:400;display:inline !important;&quot;&gt;After invoking&amp;nbsp;&lt;span style=&quot;display:inline !important;&quot;&gt;'Collapse All' or 'Expand All&lt;/span&gt;' the focus is landing on whole tile section if user press tab again focus is landing on 'CSA Role Basics' control.&lt;/span&gt;&lt;/b&gt; &lt;/div&gt;&lt;div&gt;&lt;b&gt;&lt;span style=&quot;font-weight:400;display:inline !important;&quot;&gt;Keyboard focus moves to whole tile section, but the no action is being performed.&lt;/span&gt;&lt;/b&gt; &lt;/div&gt;&lt;div&gt; &lt;/div&gt;&lt;div&gt;&lt;b&gt;&lt;br&gt;&lt;/b&gt; &lt;/div&gt;&lt;div&gt;&lt;b&gt;Expected Result:&lt;/b&gt;&lt;br&gt; &lt;/div&gt;&lt;div&gt; &lt;/div&gt;&lt;div&gt; &lt;/div&gt;&lt;div&gt;&lt;span style=&quot;display:inline !important;&quot;&gt;&lt;span style=&quot;display:inline !important;&quot;&gt;&lt;span style=&quot;display:inline !important;&quot;&gt;Keyboard focus should not move unnecessarily to whole tile section upon activating 'Collapse All' or 'Expand All' control.&lt;/span&gt;&lt;/span&gt;&lt;/span&gt;&lt;br&gt; &lt;/div&gt;&lt;div&gt;&lt;span style=&quot;display:inline !important;&quot;&gt;Ex: Keyboard focus should land on first control i.e.&amp;nbsp;&lt;span style=&quot;box-sizing:border-box;&quot;&gt;&lt;span style=&quot;box-sizing:border-box;display:inline !important;&quot;&gt;'CSA Role Basics' control &lt;span style=&quot;display:inline !important;&quot;&gt;upon activating 'Collapse All' or 'Expand All' control&lt;/span&gt;.&lt;/span&gt;&lt;/span&gt;&lt;/span&gt; &lt;/div&gt;&lt;div&gt;&lt;br&gt; &lt;/div&gt;&lt;div&gt;&lt;b&gt;&lt;/b&gt; &lt;/div&gt;&lt;div style=&quot;box-sizing:border-box;font-family:&amp;quot;Segoe UI&amp;quot;, sans-serif;font-weight:400;&quot;&gt;&lt;div style=&quot;box-sizing:border-box;font-family:&amp;quot;Segoe UI&amp;quot;, system-ui, &amp;quot;Apple Color Emoji&amp;quot;, &amp;quot;Segoe UI Emoji&amp;quot;, sans-serif;margin:0px 0in;&quot;&gt;&lt;span style=&quot;box-sizing:border-box;&quot;&gt;&lt;b style=&quot;box-sizing:border-box;&quot;&gt;MAS Reference:&lt;/b&gt;&lt;/span&gt; &lt;/div&gt;&lt;div style=&quot;box-sizing:border-box;font-family:&amp;quot;Segoe UI&amp;quot;, system-ui, &amp;quot;Apple Color Emoji&amp;quot;, &amp;quot;Segoe UI Emoji&amp;quot;, sans-serif;margin:0px 0in;&quot;&gt;&lt;span style=&quot;box-sizing:border-box;&quot;&gt;&lt;div style=&quot;box-sizing:border-box;&quot;&gt;&lt;a href=&quot;https://microsoft.sharepoint.com/teams/msenable/_layouts/15/WopiFrame.aspx?sourcedoc=%7b0de7fbe1-ad7e-48e5-bcbb-8d986691e2b9%7d&quot; style=&quot;box-sizing:border-box;text-decoration:underline;cursor:pointer;&quot;&gt;MAS 2.4.3 - Focus Order&lt;/a&gt; &lt;/div&gt;&lt;div style=&quot;box-sizing:border-box;&quot;&gt;&lt;br style=&quot;box-sizing:border-box;&quot;&gt; &lt;/div&gt;&lt;div style=&quot;box-sizing:border-box;&quot;&gt;&lt;b style=&quot;box-sizing:border-box;&quot;&gt;WCAG Reference:&lt;/b&gt; &lt;/div&gt;&lt;div style=&quot;box-sizing:border-box;&quot;&gt;&lt;a href=&quot;https://www.w3.org/WAI/WCAG21/Understanding/focus-order&quot; style=&quot;box-sizing:border-box;text-decoration:underline;cursor:pointer;&quot;&gt;https://www.w3.org/WAI/WCAG21/Understanding/focus-order&lt;/a&gt; &lt;/div&gt;&lt;/span&gt; &lt;/div&gt; &lt;/div&gt;&lt;div style=&quot;box-sizing:border-box;font-weight:400;&quot;&gt;&lt;div style=&quot;box-sizing:border-box;&quot;&gt;&lt;div style=&quot;box-sizing:border-box;&quot;&gt;&lt;div style=&quot;box-sizing:border-box;&quot;&gt;&lt;span style=&quot;box-sizing:border-box;font-weight:bold;&quot;&gt;&lt;div style=&quot;box-sizing:border-box;font-weight:400;&quot;&gt;&lt;div style=&quot;box-sizing:border-box;&quot;&gt;&lt;div style=&quot;box-sizing:border-box;font-family:&amp;quot;Segoe UI&amp;quot;, system-ui, &amp;quot;Apple Color Emoji&amp;quot;, &amp;quot;Segoe UI Emoji&amp;quot;, sans-serif;margin:0px 0in;&quot;&gt; &lt;/div&gt;&lt;a href=&quot;https://www.w3.org/WAI/WCAG21/Understanding/reflow.html&quot; style=&quot;box-sizing:border-box;text-decoration:underline;cursor:pointer;font-family:&amp;quot;Segoe UI&amp;quot;, system-ui, &amp;quot;Apple Color Emoji&amp;quot;, &amp;quot;Segoe UI Emoji&amp;quot;, sans-serif;&quot;&gt;&lt;/a&gt; &lt;/div&gt; &lt;/div&gt;&lt;/span&gt; &lt;/div&gt; &lt;/div&gt; &lt;/div&gt; &lt;/div&gt;"/>
    <s v="Si"/>
    <x v="0"/>
    <s v="Enrique Monsalve "/>
  </r>
  <r>
    <n v="1517736"/>
    <s v="Bug"/>
    <s v="[Keyboard Navigation - OLP Power Apps - Content page]: Filter control is not getting closed via ‘ESC’ key."/>
    <s v="New"/>
    <s v="Enrique Monsalve &lt;v-monsalvee@microsoft.com&gt;"/>
    <m/>
    <s v="William"/>
    <s v="Investigando"/>
    <s v="A11y-1STPARTY; A11yMAS; A11yMASP3; CommonBrowsers; HCL; HCL_OLP - MayJune FY22 New Update; MAS 2.4.5; NewBaselineAssessment; RecID_8303"/>
    <s v="Revisar si es PowerApps dependency, ya que no se ha encontrado una función que implemente lo que el usuario oprima en el teclado."/>
    <x v="2"/>
    <s v="&lt;div style=&quot;box-sizing:border-box;&quot;&gt;&lt;b&gt;&lt;/b&gt; &lt;/div&gt;&lt;div&gt;&lt;b&gt;PWD Impact:&amp;nbsp;&lt;/b&gt;&lt;br style=&quot;box-sizing:border-box;&quot;&gt; &lt;/div&gt;&lt;div&gt; &lt;/div&gt;&lt;div&gt; &lt;/div&gt;&lt;div&gt;&lt;span style=&quot;box-sizing:border-box;display:inline !important;&quot;&gt;Users who rely on keyboard are finding it difficult as filter control is not getting closed via ‘ESC’ key. So, users will get confused and unable to perform their desired task.&lt;/span&gt;&lt;br&gt; &lt;/div&gt;&lt;div&gt; &lt;/div&gt;&lt;div&gt;&lt;br style=&quot;box-sizing:border-box;&quot;&gt; &lt;/div&gt;&lt;div&gt; &lt;/div&gt;&lt;div&gt; &lt;/div&gt;&lt;div&gt;&lt;b&gt;Test Environment:&lt;/b&gt;&lt;br style=&quot;box-sizing:border-box;&quot;&gt; &lt;/div&gt;&lt;div&gt; &lt;/div&gt;&lt;div&gt; &lt;/div&gt;&lt;div&gt; &lt;/div&gt;&lt;div&gt; &lt;/div&gt;&lt;div&gt; &lt;/div&gt;&lt;div&gt; &lt;/div&gt;&lt;div&gt; &lt;/div&gt;&lt;div&gt; &lt;/div&gt;&lt;div&gt;OS: Windows 11 [Version 21H2 (OS Build 22000.675)]&lt;br style=&quot;box-sizing:border-box;&quot;&gt; &lt;/div&gt;&lt;div&gt;Browser: Edge Chromium (102.0.1245.30), Chrome (102.0.5005.63) &lt;/div&gt;&lt;div&gt;URL:&amp;nbsp;&lt;a href=&quot;https://apps.preview.powerapps.com/play/e/aa1775d6-89ae-47fb-b2cd-ebeb56163da6/a/347399e1-18ec-4002-aa22-c0285a367aaf?tenantId=72f988bf-86f1-41af-91ab-2d7cd011db47&quot;&gt;Onboarding App - Content - Power Apps&lt;/a&gt;&lt;br style=&quot;box-sizing:border-box;&quot;&gt; &lt;/div&gt;&lt;div&gt; &lt;/div&gt;&lt;div&gt; &lt;/div&gt;&lt;div&gt; &lt;/div&gt;&lt;div&gt; &lt;/div&gt;&lt;div&gt;&lt;br&gt; &lt;/div&gt;&lt;div&gt; &lt;/div&gt;&lt;div&gt; &lt;/div&gt;&lt;div&gt;&lt;b&gt;Repro Steps:&lt;/b&gt;&lt;br style=&quot;box-sizing:border-box;&quot;&gt; &lt;/div&gt;&lt;div&gt; &lt;/div&gt;&lt;div&gt; &lt;/div&gt;&lt;div&gt;&lt;div&gt; &lt;/div&gt;&lt;div&gt; &lt;/div&gt;&lt;div&gt; &lt;/div&gt;&lt;div&gt;Step 1:&amp;nbsp;Open the above URL in Edge Chromium Browser or chrome browser. &lt;/div&gt; &lt;/div&gt;&lt;div&gt; &lt;/div&gt;&lt;div&gt; &lt;/div&gt;&lt;div&gt; &lt;/div&gt;&lt;div&gt; &lt;/div&gt;&lt;div&gt;Step 2: 'Onboarding App - Content Page - Power Apps' page will appear.&amp;nbsp; &lt;/div&gt;&lt;div&gt;Step 3: Navigate and activate the 'Filter' control. &lt;/div&gt;&lt;div&gt; &lt;/div&gt;&lt;div&gt;Step 4:&amp;nbsp;Verify whether the filter control is getting closed via ‘ESC’ key or not. &lt;br&gt; &lt;/div&gt;&lt;div&gt;&lt;div&gt; &lt;/div&gt;&lt;div&gt; &lt;/div&gt;&lt;div&gt; &lt;/div&gt;&lt;div&gt;&lt;br style=&quot;box-sizing:border-box;&quot;&gt; &lt;/div&gt;&lt;div&gt; &lt;/div&gt; &lt;/div&gt;&lt;div&gt; &lt;/div&gt;&lt;div&gt; &lt;/div&gt;&lt;div&gt; &lt;/div&gt;&lt;div&gt; &lt;/div&gt;&lt;div&gt; &lt;/div&gt;&lt;div&gt; &lt;/div&gt;&lt;div&gt; &lt;/div&gt;&lt;div&gt;&lt;b&gt;Actual Result:&lt;/b&gt; &lt;/div&gt;&lt;div&gt;Filter control is not getting closed via ‘ESC’ key.  &lt;br&gt; &lt;/div&gt;&lt;div&gt; &lt;/div&gt;&lt;div&gt; &lt;/div&gt;&lt;div&gt;&lt;b&gt;Observation: &lt;/b&gt;Filter is not getting closed by pressing 'Esc' key and not performing any action upon pressing 'ESC' key from keyboard. &lt;/div&gt;&lt;div&gt;&lt;br&gt; &lt;/div&gt;&lt;div&gt; &lt;/div&gt;&lt;div&gt; &lt;/div&gt;&lt;div&gt; &lt;/div&gt;&lt;div&gt;&lt;b&gt;Expected Result:&lt;/b&gt;&lt;br style=&quot;box-sizing:border-box;&quot;&gt; &lt;/div&gt;&lt;div&gt; &lt;/div&gt;&lt;div&gt; &lt;/div&gt;&lt;div&gt;Filter should get closed via 'ESC' key. &lt;/div&gt;&lt;div&gt;Ex: By pressing 'ESC' key filter should get closed. &lt;/div&gt;&lt;div&gt;&lt;br&gt; &lt;/div&gt;&lt;div&gt; &lt;/div&gt;&lt;div&gt; &lt;/div&gt;&lt;div&gt; &lt;/div&gt;&lt;div&gt;&lt;div&gt; &lt;/div&gt;&lt;div&gt;&lt;b&gt;&lt;/b&gt; &lt;/div&gt;&lt;div&gt;&lt;div style=&quot;box-sizing:border-box;font-weight:400;&quot;&gt;&lt;b style=&quot;box-sizing:border-box;&quot;&gt;MAS Reference:&lt;/b&gt; &lt;/div&gt; &lt;/div&gt; &lt;/div&gt;&lt;div&gt;&lt;a href=&quot;https://microsoft.sharepoint.com/:w:/r/sites/accessibility/_layouts/15/Doc.aspx?sourcedoc=%7b4AA0E3CB-0F00-4A2C-8E09-64C3D818567C%7d&amp;amp;file=MAS%202.4.5%20%E2%80%93%20Multiple%20Ways%20.docx&amp;amp;wdLOR=c22686C1D-5FEC-4B81-921E-D993FE204AC8&amp;amp;action=default&amp;amp;mobileredirect=true&quot;&gt;MAS 2.4.5 – Multiple Ways&lt;/a&gt;&lt;br style=&quot;box-sizing:border-box;&quot;&gt; &lt;/div&gt;&lt;div&gt;&lt;div&gt;&lt;div style=&quot;box-sizing:border-box;font-weight:400;&quot;&gt; &lt;/div&gt;&lt;div style=&quot;box-sizing:border-box;font-weight:400;&quot;&gt;&lt;br style=&quot;box-sizing:border-box;&quot;&gt; &lt;/div&gt;&lt;div style=&quot;box-sizing:border-box;font-weight:400;&quot;&gt;&lt;b style=&quot;box-sizing:border-box;&quot;&gt;WCAG Reference:&lt;/b&gt; &lt;/div&gt;&lt;div style=&quot;box-sizing:border-box;font-weight:400;&quot;&gt;&lt;a href=&quot;https://www.w3.org/WAI/WCAG21/Understanding/multiple-ways.html&quot;&gt;https://www.w3.org/WAI/WCAG21/Understanding/multiple-ways.html&lt;/a&gt; &lt;/div&gt; &lt;/div&gt; &lt;/div&gt;&lt;div style=&quot;box-sizing:border-box;font-weight:400;&quot;&gt;&lt;div style=&quot;box-sizing:border-box;&quot;&gt;&lt;div style=&quot;box-sizing:border-box;&quot;&gt;&lt;div style=&quot;box-sizing:border-box;&quot;&gt;&lt;span style=&quot;box-sizing:border-box;font-weight:bold;&quot;&gt;&lt;div style=&quot;box-sizing:border-box;font-weight:400;&quot;&gt;&lt;div style=&quot;box-sizing:border-box;&quot;&gt;&lt;div style=&quot;box-sizing:border-box;font-family:&amp;quot;Segoe UI&amp;quot;, system-ui, &amp;quot;Apple Color Emoji&amp;quot;, &amp;quot;Segoe UI Emoji&amp;quot;, sans-serif;margin:0px 0in;&quot;&gt; &lt;/div&gt;&lt;a href=&quot;https://www.w3.org/WAI/WCAG21/Understanding/reflow.html&quot; style=&quot;box-sizing:border-box;text-decoration:underline;cursor:pointer;font-family:&amp;quot;Segoe UI&amp;quot;, system-ui, &amp;quot;Apple Color Emoji&amp;quot;, &amp;quot;Segoe UI Emoji&amp;quot;, sans-serif;&quot;&gt;&lt;/a&gt; &lt;/div&gt; &lt;/div&gt;&lt;/span&gt; &lt;/div&gt; &lt;/div&gt; &lt;/div&gt; &lt;/div&gt;"/>
    <s v="No"/>
    <x v="2"/>
    <s v="Enrique Monsalve "/>
  </r>
  <r>
    <n v="1521793"/>
    <s v="Bug"/>
    <s v="[Screen Readers - OLP Power Apps - Content page]: Ensures buttons have discernible text."/>
    <s v="New"/>
    <s v="William Pena &lt;v-wpena@microsoft.com&gt;"/>
    <s v="No revisado"/>
    <m/>
    <s v="Completado"/>
    <m/>
    <m/>
    <x v="0"/>
    <s v="PWD Impact: _x000a_Low vision users who need to enlarge text for navigation through the page are getting impacted if the page content is not displaying properly after resizing the page at 200% zoom._x000a__x000a_Test Environment:_x000a_OS: Windows 11 [Version 21H2 (OS Build 22000.675)]_x000a_Browser: Edge Chromium (102.0.1245.30), Chrome (102.0.5005.63)_x000a_URL: Onboarding App - Content - Power Apps_x000a__x000a_Pre-requisite:_x000a__x000a_Step 1: Enable Display setting to a scale resolution of 1280 * 1024 and update scaling to 100%._x000a__x000a_Step 2: Enable the browser setting to 200% Zoom mode._x000a__x000a__x000a_Repro Steps:_x000a_Step 1: Open the above URL in Edge Chromium Browser or chrome browser._x000a_Step 2: 'Onboarding App - Content - Power Apps' page will appear. _x000a_Step 3: Navigate on the page._x000a_Step 4: Verify whether after resizing the page at 200% zoom, page content is displaying properly or not._x000a__x000a_Actual Result:_x000a_After resizing the page at 200% zoom, page content is not displaying properly._x000a_Observation:_x000a_'Customer Account Success Manager' content is not displayed on the page._x000a__x000a_Expected Result:_x000a_After resizing the page at 200% zoom, page content should display properly._x000a_Ex: 'Customer Account Success Manager' content should be displayed on the page._x000a__x000a_MAS Reference:_x000a_MAS 1.4.4 – Resize Text_x000a__x000a_WCAG Reference:_x000a_https://www.w3.org/WAI/WCAG21/Understanding/resize-text.html"/>
    <s v="Si"/>
    <x v="0"/>
    <s v="Enrique Monsalve "/>
  </r>
  <r>
    <n v="1521839"/>
    <s v="[Supporting the platform - OLP Power Apps - Content page]: At 400% Zoom mode, few content present in the page getting truncated."/>
    <s v="[Supporting the platform - OLP Power Apps - Content page]: At 400% Zoom mode, few content present in the page getting truncated."/>
    <m/>
    <m/>
    <s v="No revisado"/>
    <m/>
    <s v="Completado"/>
    <m/>
    <m/>
    <x v="0"/>
    <m/>
    <s v="No"/>
    <x v="2"/>
    <s v="Enrique Monsalve "/>
  </r>
  <r>
    <n v="1521867"/>
    <s v="[Screen Readers - OLP Power Apps - Content page]: Screen readers are narrating unnecessary 'Role' as button for 'Normal text', Present in the page, while navigating using down arrow key."/>
    <s v="[Screen Readers - OLP Power Apps - Content page]: Screen readers are narrating unnecessary 'Role' as button for 'Normal text', Present in the page, while navigating using down arrow key."/>
    <m/>
    <m/>
    <s v="No revisado"/>
    <m/>
    <s v="Completado"/>
    <m/>
    <m/>
    <x v="0"/>
    <m/>
    <s v="Si"/>
    <x v="0"/>
    <s v="Enrique Monsalve "/>
  </r>
  <r>
    <n v="1517906"/>
    <s v="Bug"/>
    <s v="[Screen Readers - OLP Power Apps - Content page]: Screen reader is announcing irrelevant information for progress bar, while navigating using browse mode"/>
    <s v="New"/>
    <s v="Enrique Monsalve &lt;v-monsalvee@microsoft.com&gt;"/>
    <s v="No revisado"/>
    <s v="William"/>
    <s v="Completado"/>
    <s v="A11y-1STPARTY; A11yMAS; A11yMASP3; CommonScreenReaders; HCL; HCL_OLP - MayJune FY22 New Update; MAS 1.3.1; NewBaselineAssessment; RecID_8303"/>
    <s v="Investigar como hacer para que NVDA no lea el progress bar. O que lea un texto que uno quiera como &quot;completion bar&quot;_x000a__x000a_Comentario de Accessibility Team: _x000a__x000a_@William Pena Announcing Edit, Clickable by the screen reader can be controlled by their verbose settings and it is expected behavior based on the verbose selection of the user. _x000a__x000a_If Blank is removed, please assign the bug back to us and resolve._x000a__x000a_@Priyanka Mangla @David Payne "/>
    <x v="0"/>
    <s v="&lt;div style=&quot;box-sizing:border-box;&quot;&gt;&lt;b&gt;&lt;/b&gt; &lt;/div&gt;&lt;div style=&quot;box-sizing:border-box;&quot;&gt;&lt;span style=&quot;box-sizing:border-box;&quot;&gt;&lt;p style=&quot;font-weight:400;margin:0in;&quot;&gt;&lt;span style=&quot;font-weight:bold;color:black;&quot;&gt;Note:&lt;/span&gt;&lt;b&gt;&amp;nbsp;&lt;/b&gt;Same issue is observed_x000a_throughout the application for similar type of controls. &lt;/p&gt;&lt;br&gt;&lt;/span&gt; &lt;/div&gt;&lt;div style=&quot;box-sizing:border-box;font-weight:400;&quot;&gt;&lt;b style=&quot;box-sizing:border-box;&quot;&gt;PWD Impact: -&lt;/b&gt;&lt;br style=&quot;box-sizing:border-box;&quot;&gt; &lt;/div&gt;&lt;div style=&quot;box-sizing:border-box;font-weight:400;&quot;&gt;&lt;span style=&quot;box-sizing:border-box;display:inline !important;&quot;&gt;&lt;span style=&quot;box-sizing:border-box;font-family:&amp;quot;Segoe UI&amp;quot;, sans-serif;display:inline !important;&quot;&gt;&lt;span style=&quot;box-sizing:border-box;display:inline !important;&quot;&gt;&lt;span style=&quot;display:inline !important;&quot;&gt;&lt;span style=&quot;display:inline !important;&quot;&gt;&lt;span style=&quot;display:inline !important;&quot;&gt;&lt;span style=&quot;display:inline !important;&quot;&gt;Screen reader users are getting impacted if screen reader announces incorrect information as 'progress bar' on 'CSA_x000a_Role Basics' Control&amp;nbsp;present on the page. They will get confused and disoriented.&lt;/span&gt;&lt;/span&gt;&lt;/span&gt;&lt;/span&gt;&lt;/span&gt;&lt;/span&gt;&lt;/span&gt; &lt;/div&gt;&lt;div style=&quot;box-sizing:border-box;font-weight:400;&quot;&gt;&lt;br style=&quot;box-sizing:border-box;&quot;&gt; &lt;/div&gt;&lt;div style=&quot;box-sizing:border-box;font-weight:400;&quot;&gt;&lt;div style=&quot;box-sizing:border-box;&quot;&gt; &lt;/div&gt;&lt;div style=&quot;box-sizing:border-box;&quot;&gt;&lt;b style=&quot;box-sizing:border-box;font-family:&amp;quot;Segoe UI&amp;quot;, sans-serif;&quot;&gt;Test Environment:&lt;/b&gt;&lt;br style=&quot;box-sizing:border-box;&quot;&gt; &lt;/div&gt;&lt;div style=&quot;box-sizing:border-box;&quot;&gt; &lt;/div&gt; &lt;/div&gt;&lt;div style=&quot;box-sizing:border-box;font-weight:400;&quot;&gt; &lt;/div&gt;&lt;div style=&quot;box-sizing:border-box;font-weight:400;&quot;&gt; &lt;/div&gt;&lt;div style=&quot;box-sizing:border-box;font-weight:400;&quot;&gt; &lt;/div&gt;&lt;div style=&quot;box-sizing:border-box;font-weight:400;&quot;&gt; &lt;/div&gt;&lt;p style=&quot;box-sizing:border-box;font-weight:400;margin:0in;&quot;&gt; &lt;/p&gt;&lt;span style=&quot;box-sizing:border-box;font-weight:400;&quot;&gt;&lt;/span&gt;&lt;span style=&quot;box-sizing:border-box;font-weight:400;&quot;&gt;&lt;/span&gt;&lt;span style=&quot;box-sizing:border-box;font-weight:400;&quot;&gt;OS: Windows 11 [Version 21H2 (OS Build 22000.675)]&lt;br style=&quot;box-sizing:border-box;&quot;&gt;&lt;/span&gt;&lt;div style=&quot;box-sizing:border-box;font-weight:400;&quot;&gt;Browser: Edge Chromium (102.0.1245.30), Chrome (102.0.5005.63)&lt;br style=&quot;box-sizing:border-box;&quot;&gt; &lt;/div&gt;&lt;div style=&quot;box-sizing:border-box;font-weight:400;&quot;&gt;Screen readers: NVDA (2022.1), JAWS (2022.2204.20) &lt;/div&gt;&lt;div style=&quot;box-sizing:border-box;font-weight:400;&quot;&gt;&lt;span style=&quot;box-sizing:border-box;&quot;&gt;URL:&amp;nbsp;&lt;a href=&quot;https://apps.preview.powerapps.com/play/e/aa1775d6-89ae-47fb-b2cd-ebeb56163da6/a/347399e1-18ec-4002-aa22-c0285a367aaf?tenantId=72f988bf-86f1-41af-91ab-2d7cd011db47&quot;&gt;Onboarding App - Content - Power Apps&lt;/a&gt;&lt;/span&gt;&lt;br style=&quot;box-sizing:border-box;&quot;&gt; &lt;/div&gt;&lt;span style=&quot;box-sizing:border-box;font-weight:400;&quot;&gt;&lt;/span&gt;&lt;div style=&quot;box-sizing:border-box;font-weight:400;&quot;&gt; &lt;/div&gt;&lt;div style=&quot;box-sizing:border-box;font-weight:400;&quot;&gt; &lt;/div&gt;&lt;div style=&quot;box-sizing:border-box;font-weight:400;&quot;&gt;&lt;br style=&quot;box-sizing:border-box;&quot;&gt; &lt;/div&gt;&lt;div style=&quot;box-sizing:border-box;font-weight:400;&quot;&gt;&lt;span style=&quot;box-sizing:border-box;&quot;&gt;&lt;b style=&quot;box-sizing:border-box;&quot;&gt;Prerequisite:&lt;/b&gt;&lt;/span&gt; &lt;/div&gt;&lt;div style=&quot;box-sizing:border-box;font-weight:400;&quot;&gt;&lt;span style=&quot;box-sizing:border-box;&quot;&gt;Turn on NVDA/JAWS. Enable browse mode using 'insert+space'/'insert+Z' key.&lt;/span&gt;&lt;span style=&quot;box-sizing:border-box;&quot;&gt;&lt;b style=&quot;box-sizing:border-box;&quot;&gt;&lt;br style=&quot;box-sizing:border-box;&quot;&gt;&lt;/b&gt;&lt;/span&gt; &lt;/div&gt;&lt;div style=&quot;box-sizing:border-box;font-weight:400;&quot;&gt;&lt;span style=&quot;box-sizing:border-box;&quot;&gt;&lt;br style=&quot;box-sizing:border-box;&quot;&gt;&lt;/span&gt; &lt;/div&gt;&lt;div style=&quot;box-sizing:border-box;font-weight:400;&quot;&gt;&lt;p style=&quot;box-sizing:border-box;margin:0in;&quot;&gt;&lt;b style=&quot;box-sizing:border-box;&quot;&gt;Repro Steps:&lt;/b&gt;&lt;br style=&quot;box-sizing:border-box;&quot;&gt; &lt;/p&gt; &lt;/div&gt;&lt;div style=&quot;box-sizing:border-box;font-weight:400;&quot;&gt;&lt;div style=&quot;box-sizing:border-box;&quot;&gt;&lt;div style=&quot;box-sizing:border-box;&quot;&gt;&lt;div style=&quot;box-sizing:border-box;&quot;&gt;&lt;span style=&quot;box-sizing:border-box;&quot;&gt;&lt;div style=&quot;box-sizing:border-box;&quot;&gt; &lt;/div&gt;&lt;div style=&quot;box-sizing:border-box;&quot;&gt; &lt;/div&gt;&lt;div style=&quot;box-sizing:border-box;&quot;&gt; &lt;/div&gt;&lt;div style=&quot;box-sizing:border-box;&quot;&gt;Step 1:&lt;span style=&quot;box-sizing:border-box;&quot;&gt;&amp;nbsp;&lt;/span&gt;&lt;span style=&quot;box-sizing:border-box;color:rgb(36, 36, 36);font-family:-apple-system, BlinkMacSystemFont, &amp;quot;Segoe UI&amp;quot;, &amp;quot;Apple Color Emoji&amp;quot;, &amp;quot;Segoe UI Emoji&amp;quot;, &amp;quot;Segoe UI Web&amp;quot;, sans-serif;display:inline !important;&quot;&gt;Open the above URL in Edge Chromium Browser or chrome browser.&lt;/span&gt;&lt;span style=&quot;box-sizing:border-box;display:inline !important;&quot;&gt;&lt;/span&gt; &lt;/div&gt;&lt;/span&gt; &lt;/div&gt; &lt;/div&gt; &lt;/div&gt; &lt;/div&gt;&lt;div&gt;Step 2: 'Onboarding App - Content - Power Apps' page will appear.&amp;nbsp; &lt;/div&gt;&lt;div style=&quot;box-sizing:border-box;font-weight:400;&quot;&gt;&lt;div style=&quot;box-sizing:border-box;&quot;&gt;&lt;div style=&quot;box-sizing:border-box;&quot;&gt;&lt;div style=&quot;box-sizing:border-box;&quot;&gt;&lt;span style=&quot;box-sizing:border-box;&quot;&gt;&lt;div style=&quot;box-sizing:border-box;&quot;&gt;Step 3: &lt;span style=&quot;display:inline !important;&quot;&gt;Navigate to the ‘&lt;span style=&quot;box-sizing:border-box;&quot;&gt;CSA Role Basics&amp;nbsp;&lt;/span&gt;&lt;span style=&quot;box-sizing:border-box;&quot;&gt;button'&amp;nbsp;&lt;/span&gt;using Browse/VPC mode.&lt;/span&gt; &lt;/div&gt;&lt;div style=&quot;box-sizing:border-box;&quot;&gt;&lt;span style=&quot;box-sizing:border-box;&quot;&gt;&lt;span style=&quot;box-sizing:border-box;&quot;&gt;Step 4:&lt;span style=&quot;box-sizing:border-box;&quot;&gt;&amp;nbsp;&lt;/span&gt;&lt;/span&gt;&lt;span style=&quot;display:inline !important;&quot;&gt;Verify whether Screen reader is announcing irrelevant information for progress bar, while navigating using browse mode&amp;nbsp;or&lt;/span&gt;&amp;nbsp;not.&lt;br style=&quot;box-sizing:border-box;&quot;&gt;&lt;/span&gt; &lt;/div&gt;&lt;div style=&quot;box-sizing:border-box;&quot;&gt;&lt;span style=&quot;box-sizing:border-box;&quot;&gt;&lt;/span&gt; &lt;/div&gt;&lt;div style=&quot;box-sizing:border-box;&quot;&gt;&lt;span style=&quot;box-sizing:border-box;&quot;&gt;&lt;/span&gt; &lt;/div&gt;&lt;div style=&quot;box-sizing:border-box;&quot;&gt;&lt;span style=&quot;box-sizing:border-box;&quot;&gt;&lt;span style=&quot;box-sizing:border-box;font-family:Calibri, sans-serif;font-size:14.6667px;display:inline !important;&quot;&gt;&lt;span style=&quot;box-sizing:border-box;font-size:14px;display:inline !important;&quot;&gt;&lt;br style=&quot;box-sizing:border-box;&quot;&gt;&lt;/span&gt;&lt;/span&gt;&lt;/span&gt; &lt;/div&gt;&lt;/span&gt; &lt;/div&gt; &lt;/div&gt; &lt;/div&gt; &lt;/div&gt;&lt;div style=&quot;box-sizing:border-box;font-weight:400;&quot;&gt;&lt;div style=&quot;box-sizing:border-box;&quot;&gt;&lt;div style=&quot;box-sizing:border-box;&quot;&gt;&lt;b style=&quot;box-sizing:border-box;&quot;&gt;&lt;/b&gt; &lt;/div&gt; &lt;/div&gt; &lt;/div&gt;&lt;div style=&quot;box-sizing:border-box;font-weight:400;&quot;&gt;&lt;div style=&quot;box-sizing:border-box;&quot;&gt;&lt;div style=&quot;box-sizing:border-box;&quot;&gt;&lt;b style=&quot;box-sizing:border-box;&quot;&gt;Actual Result:&lt;/b&gt;&lt;br style=&quot;box-sizing:border-box;&quot;&gt; &lt;/div&gt; &lt;/div&gt; &lt;/div&gt;&lt;div style=&quot;box-sizing:border-box;font-weight:400;&quot;&gt; &lt;/div&gt;&lt;div style=&quot;box-sizing:border-box;font-weight:400;&quot;&gt;&lt;b style=&quot;box-sizing:border-box;&quot;&gt;&lt;span style=&quot;box-sizing:border-box;display:inline !important;&quot;&gt;&lt;/span&gt;&lt;/b&gt; &lt;/div&gt;&lt;div style=&quot;box-sizing:border-box;font-weight:400;&quot;&gt; &lt;/div&gt;&lt;div style=&quot;box-sizing:border-box;&quot;&gt;&lt;div style=&quot;font-weight:400;box-sizing:border-box;&quot;&gt; &lt;/div&gt; &lt;/div&gt;&lt;div style=&quot;box-sizing:border-box;&quot;&gt;Screen reader is announcing irrelevant information for progress bar, while navigating using browse mode &lt;/div&gt;&lt;div style=&quot;box-sizing:border-box;&quot;&gt;&lt;b style=&quot;box-sizing:border-box;&quot;&gt;Observation:&lt;/b&gt;&lt;span&gt;&amp;nbsp;screen reader narrating as 'blank', edit.&lt;/span&gt; &lt;/div&gt;&lt;div style=&quot;box-sizing:border-box;font-weight:400;&quot;&gt;&lt;br style=&quot;box-sizing:border-box;&quot;&gt; &lt;/div&gt;&lt;div style=&quot;box-sizing:border-box;&quot;&gt;&lt;div style=&quot;font-weight:400;box-sizing:border-box;&quot;&gt; &lt;/div&gt;&lt;div style=&quot;box-sizing:border-box;&quot;&gt;&lt;b style=&quot;box-sizing:border-box;&quot;&gt;Expected Result:&lt;br style=&quot;box-sizing:border-box;&quot;&gt;&lt;/b&gt;&lt;div style=&quot;font-weight:400;box-sizing:border-box;&quot;&gt;&lt;div style=&quot;box-sizing:border-box;&quot;&gt;&lt;span style=&quot;display:inline !important;&quot;&gt;&lt;span style=&quot;display:inline !important;&quot;&gt;&lt;span style=&quot;font-family:&amp;quot;Segoe UI&amp;quot;, system-ui, &amp;quot;Apple Color Emoji&amp;quot;, &amp;quot;Segoe UI Emoji&amp;quot;, sans-serif;display:inline !important;&quot;&gt;Screen reader &lt;span style=&quot;display:inline !important;&quot;&gt;should not announce&lt;/span&gt; irrelevant information for progress bar, while navigating using browse mode&amp;nbsp;&lt;/span&gt;&lt;/span&gt;&lt;/span&gt; &lt;/div&gt; &lt;/div&gt;&lt;div style=&quot;box-sizing:border-box;&quot;&gt;&lt;div style=&quot;box-sizing:border-box;&quot;&gt;&lt;b&gt;Ex: &lt;/b&gt;screen reader announces as progress bar 70% complete. &lt;/div&gt;&lt;div style=&quot;box-sizing:border-box;&quot;&gt;&lt;br&gt; &lt;/div&gt;&lt;div style=&quot;box-sizing:border-box;&quot;&gt; &lt;/div&gt; &lt;/div&gt; &lt;/div&gt; &lt;/div&gt;&lt;div style=&quot;box-sizing:border-box;font-weight:400;&quot;&gt;&lt;div style=&quot;box-sizing:border-box;&quot;&gt;&lt;div style=&quot;box-sizing:border-box;&quot;&gt;&lt;div style=&quot;box-sizing:border-box;&quot;&gt;&lt;span style=&quot;box-sizing:border-box;font-weight:bold;&quot;&gt;&lt;div style=&quot;box-sizing:border-box;font-weight:400;&quot;&gt;&lt;div style=&quot;box-sizing:border-box;&quot;&gt;&lt;b style=&quot;box-sizing:border-box;&quot;&gt;MAS Reference Link:&lt;/b&gt; &lt;/div&gt; &lt;/div&gt;&lt;/span&gt; &lt;/div&gt; &lt;/div&gt; &lt;/div&gt; &lt;/div&gt;&lt;div&gt;&lt;div&gt;&lt;div style=&quot;box-sizing:border-box;&quot;&gt;&lt;a href=&quot;https://microsoft.sharepoint.com/teams/msenable/_layouts/15/WopiFrame.aspx?sourcedoc=%7b54f28d1f-a2d1-4dcd-84e1-5c9b87e8aba4%7d&quot; style=&quot;box-sizing:border-box;text-decoration:underline;&quot;&gt;MAS 1.3.1 - Info and Relationships&lt;/a&gt; &lt;/div&gt;&lt;div style=&quot;box-sizing:border-box;&quot;&gt;&lt;br style=&quot;box-sizing:border-box;&quot;&gt; &lt;/div&gt;&lt;div style=&quot;box-sizing:border-box;&quot;&gt;&lt;b style=&quot;box-sizing:border-box;&quot;&gt;WCAG Reference Link:&lt;/b&gt; &lt;/div&gt;&lt;div style=&quot;box-sizing:border-box;&quot;&gt;&lt;a href=&quot;https://www.w3.org/WAI/WCAG21/Understanding/info-and-relationships.html&quot; style=&quot;box-sizing:border-box;text-decoration:underline;&quot;&gt;https://www.w3.org/WAI/WCAG21/Understanding/info-and-relationships.html&lt;/a&gt; &lt;/div&gt; &lt;/div&gt; &lt;/div&gt;&lt;div style=&quot;box-sizing:border-box;font-weight:400;&quot;&gt;&lt;div style=&quot;box-sizing:border-box;&quot;&gt;&lt;div style=&quot;box-sizing:border-box;&quot;&gt;&lt;div style=&quot;box-sizing:border-box;&quot;&gt; &lt;/div&gt; &lt;/div&gt; &lt;/div&gt; &lt;/div&gt;"/>
    <s v="Si"/>
    <x v="0"/>
    <s v="Priyanka Mangla "/>
  </r>
  <r>
    <n v="1517907"/>
    <s v="Bug"/>
    <s v="[Visual Requirements - OLP Power Apps - Content page]: Luminosity contrast ratio fails for the search control border."/>
    <s v="New"/>
    <s v="Enrique Monsalve &lt;v-monsalvee@microsoft.com&gt;"/>
    <s v="No revisado"/>
    <s v="Mauricio"/>
    <s v="Completado"/>
    <s v="A11y-1STPARTY; A11yMAS; A11yMASP3; CommonBrowsers; HCL; HCL_OLP - MayJune FY22 New Update; MAS 1.4.11; NewBaselineAssessment; RecID_8303"/>
    <s v="_x000a_Se realiza el ajuste de la sombra del search text, color anterior #8F8B8B, nuevo color #808080, validamos que cumpliera con el contrast ratio 3:1"/>
    <x v="1"/>
    <s v="&lt;div style=&quot;box-sizing:border-box;&quot;&gt;&lt;b&gt;&lt;/b&gt; &lt;/div&gt;&lt;div&gt;&lt;b&gt;PWD Impact:&amp;nbsp;&lt;/b&gt;&lt;br style=&quot;box-sizing:border-box;&quot;&gt; &lt;/div&gt;&lt;div&gt; &lt;/div&gt;&lt;div&gt; &lt;/div&gt;&lt;div&gt;&lt;div style=&quot;box-sizing:border-box;font-family:&amp;quot;Segoe UI&amp;quot;, sans-serif;&quot;&gt;&lt;span style=&quot;box-sizing:border-box;display:inline !important;&quot;&gt;&lt;span style=&quot;box-sizing:border-box;display:inline !important;&quot;&gt;Users who have color vision deficiency will find it difficult to see as&amp;nbsp;Luminosity contrast ratio for control border is 1.1:1 which is less than 3:1. U&lt;span style=&quot;box-sizing:border-box;display:inline !important;&quot;&gt;sers with low vision disabilities might be unable to read/see the control.&lt;/span&gt;&lt;/span&gt;&lt;/span&gt;&lt;div style=&quot;box-sizing:border-box;&quot;&gt; &lt;/div&gt; &lt;/div&gt;&lt;br&gt;&lt;b&gt;Test Environment:&lt;/b&gt;&lt;br&gt; &lt;/div&gt;&lt;div&gt; &lt;/div&gt;&lt;div&gt; &lt;/div&gt;&lt;div&gt; &lt;/div&gt;&lt;div&gt; &lt;/div&gt;&lt;div&gt; &lt;/div&gt;&lt;div&gt; &lt;/div&gt;&lt;div&gt; &lt;/div&gt;&lt;div&gt; &lt;/div&gt;&lt;div&gt;OS: Windows 11 [Version 21H2 (OS Build 22000.675)]&lt;br style=&quot;box-sizing:border-box;&quot;&gt; &lt;/div&gt;&lt;div&gt;Browser: Edge Chromium (102.0.1245.30), Chrome (102.0.5005.63) &lt;/div&gt;&lt;div&gt;&lt;span style=&quot;font-family:&amp;quot;Segoe UI&amp;quot;, sans-serif;display:inline !important;&quot;&gt;Tool: Color Contrast Analyzer Tool&lt;/span&gt;&lt;br&gt; &lt;/div&gt;&lt;div&gt;URL:&amp;nbsp;&lt;a href=&quot;https://apps.preview.powerapps.com/play/e/aa1775d6-89ae-47fb-b2cd-ebeb56163da6/a/347399e1-18ec-4002-aa22-c0285a367aaf?tenantId=72f988bf-86f1-41af-91ab-2d7cd011db47&quot;&gt;Onboarding App - Content - Power Apps&lt;/a&gt;&lt;br style=&quot;box-sizing:border-box;&quot;&gt; &lt;/div&gt;&lt;div&gt; &lt;/div&gt;&lt;div&gt; &lt;/div&gt;&lt;div&gt; &lt;/div&gt;&lt;div&gt; &lt;/div&gt;&lt;div&gt;&lt;br&gt; &lt;/div&gt;&lt;div&gt; &lt;/div&gt;&lt;div&gt; &lt;/div&gt;&lt;div&gt;&lt;b&gt;Repro Steps:&lt;/b&gt;&lt;br style=&quot;box-sizing:border-box;&quot;&gt; &lt;/div&gt;&lt;div&gt; &lt;/div&gt;&lt;div&gt; &lt;/div&gt;&lt;div&gt;&lt;div&gt; &lt;/div&gt;&lt;div&gt; &lt;/div&gt;&lt;div&gt; &lt;/div&gt;&lt;div&gt;Step 1:&amp;nbsp;Open the above URL in Edge Chromium Browser or chrome browser. &lt;/div&gt; &lt;/div&gt;&lt;div&gt; &lt;/div&gt;&lt;div&gt; &lt;/div&gt;&lt;div&gt; &lt;/div&gt;&lt;div&gt; &lt;/div&gt;&lt;div&gt;Step 2: 'Onboarding App - Content Page - Power Apps' page will appear.&amp;nbsp; &lt;/div&gt;&lt;div&gt;Step 3: Navigate to the 'Home' control and activate it. -&amp;gt;Navigate to search control. &lt;/div&gt;&lt;div&gt; &lt;/div&gt;&lt;div&gt;Step 4:&amp;nbsp;&lt;span style=&quot;display:inline !important;&quot;&gt;V&lt;/span&gt;&lt;span style=&quot;box-sizing:border-box;display:inline !important;&quot;&gt;erify whether&amp;nbsp;Luminosity contrast ratio fails for the search control border or not.&lt;/span&gt;&lt;br&gt; &lt;/div&gt;&lt;div&gt;&lt;div&gt; &lt;/div&gt;&lt;div&gt; &lt;/div&gt;&lt;div&gt; &lt;/div&gt;&lt;div&gt;&lt;br style=&quot;box-sizing:border-box;&quot;&gt; &lt;/div&gt;&lt;div&gt; &lt;/div&gt; &lt;/div&gt;&lt;div&gt; &lt;/div&gt;&lt;div&gt; &lt;/div&gt;&lt;div&gt; &lt;/div&gt;&lt;div&gt; &lt;/div&gt;&lt;div&gt; &lt;/div&gt;&lt;div&gt; &lt;/div&gt;&lt;div&gt; &lt;/div&gt;&lt;div&gt;&lt;b&gt;Actual Result:&lt;/b&gt; &lt;/div&gt;&lt;div&gt;Luminosity contrast ratio fails for the search control border is 1.1:1 which is less than required ratio of 3:1.&lt;br&gt; &lt;/div&gt;&lt;div&gt; &lt;/div&gt;&lt;div&gt; &lt;/div&gt;&lt;div&gt;&lt;br&gt; &lt;/div&gt;&lt;div&gt; &lt;/div&gt;&lt;div&gt;&lt;br&gt; &lt;/div&gt;&lt;div&gt; &lt;/div&gt;&lt;div&gt; &lt;/div&gt;&lt;div&gt; &lt;/div&gt;&lt;div&gt;&lt;b&gt;Expected Result:&lt;/b&gt;&lt;br style=&quot;box-sizing:border-box;&quot;&gt; &lt;/div&gt;&lt;div&gt; &lt;/div&gt;&lt;div&gt; &lt;/div&gt;&lt;div&gt;&lt;span style=&quot;display:inline !important;&quot;&gt;Luminosity contrast ratio for the search control border should be greater than or equal to the required ratio of 3:1.&lt;/span&gt;&lt;br&gt; &lt;/div&gt;&lt;div&gt;&lt;br&gt; &lt;/div&gt;&lt;div&gt;&lt;b&gt;&lt;/b&gt; &lt;/div&gt;&lt;div style=&quot;box-sizing:border-box;font-family:&amp;quot;Segoe UI&amp;quot;, sans-serif;font-weight:400;&quot;&gt;&lt;b style=&quot;box-sizing:border-box;&quot;&gt;MAS Reference:&lt;/b&gt; &lt;/div&gt;&lt;div style=&quot;box-sizing:border-box;font-family:&amp;quot;Segoe UI&amp;quot;, sans-serif;font-weight:400;text-decoration:underline;&quot;&gt;&lt;a href=&quot;https://nam06.safelinks.protection.outlook.com/ap/w-59584e83/?url=https://microsoft.sharepoint.com/:w:/r/teams/msenable/_layouts/15/Doc.aspx?sourcedoc%3D%257b6CA3BF14-2635-434A-832C-28DD9A18B9FC%257d%26file%3DMAS%25201.4.11%2520%25E2%2580%2593%2520Non-text%2520Contrast.docx%26action%3Ddefault%26mobileredirect%3Dtrue&amp;amp;data=02%7c01%7cv-depol%40microsoft.com%7caab90cda4d234bfb5b1c08d75d25d9be%7c72f988bf86f141af91ab2d7cd011db47%7c1%7c0%7c637080290209376132&amp;amp;sdata=DYYk2w4O5tybuMrne3FfwOXl%2Bkry7q4wnL1pCx2%2BIog%3D&amp;amp;reserved=0&quot; style=&quot;box-sizing:border-box;text-decoration:underline;cursor:pointer;&quot;&gt;MAS 1.4.11 - Non-text Contrast&lt;/a&gt;&amp;nbsp;&amp;nbsp; &lt;/div&gt;&lt;div style=&quot;box-sizing:border-box;font-family:&amp;quot;Segoe UI&amp;quot;, sans-serif;font-weight:400;text-decoration:underline;&quot;&gt;&lt;br style=&quot;box-sizing:border-box;&quot;&gt; &lt;/div&gt;&lt;div style=&quot;box-sizing:border-box;font-family:&amp;quot;Segoe UI&amp;quot;, sans-serif;font-weight:400;&quot;&gt;&lt;b style=&quot;box-sizing:border-box;&quot;&gt;WCAG Reference:&lt;/b&gt; &lt;/div&gt;&lt;div style=&quot;box-sizing:border-box;font-family:&amp;quot;Segoe UI&amp;quot;, sans-serif;font-weight:400;text-decoration:underline;&quot;&gt;&lt;a href=&quot;https://www.w3.org/WAI/WCAG21/Understanding/non-text-contrast.html&quot; style=&quot;box-sizing:border-box;text-decoration:underline;cursor:pointer;&quot;&gt;https://www.w3.org/WAI/WCAG21/Understanding/non-text-contrast.html&lt;/a&gt; &lt;/div&gt;&lt;div style=&quot;box-sizing:border-box;font-weight:400;&quot;&gt;&lt;div style=&quot;box-sizing:border-box;&quot;&gt;&lt;div style=&quot;box-sizing:border-box;&quot;&gt;&lt;div style=&quot;box-sizing:border-box;&quot;&gt;&lt;span style=&quot;box-sizing:border-box;font-weight:bold;&quot;&gt;&lt;div style=&quot;box-sizing:border-box;font-weight:400;&quot;&gt;&lt;div style=&quot;box-sizing:border-box;&quot;&gt;&lt;div style=&quot;box-sizing:border-box;font-family:&amp;quot;Segoe UI&amp;quot;, system-ui, &amp;quot;Apple Color Emoji&amp;quot;, &amp;quot;Segoe UI Emoji&amp;quot;, sans-serif;margin:0px 0in;&quot;&gt; &lt;/div&gt;&lt;a href=&quot;https://www.w3.org/WAI/WCAG21/Understanding/reflow.html&quot; style=&quot;box-sizing:border-box;text-decoration:underline;cursor:pointer;font-family:&amp;quot;Segoe UI&amp;quot;, system-ui, &amp;quot;Apple Color Emoji&amp;quot;, &amp;quot;Segoe UI Emoji&amp;quot;, sans-serif;&quot;&gt;&lt;/a&gt; &lt;/div&gt; &lt;/div&gt;&lt;/span&gt; &lt;/div&gt; &lt;/div&gt; &lt;/div&gt; &lt;/div&gt;"/>
    <s v="Si"/>
    <x v="0"/>
    <s v="William Pena "/>
  </r>
  <r>
    <n v="1517928"/>
    <s v="Bug"/>
    <s v="[Visual Requirement - OLP Power Apps - Content page]: Luminosity contrast ratio for the 'Marked as complete', 'Thanks for your feedback' text is less than 4.5:1."/>
    <s v="New"/>
    <s v="Enrique Monsalve &lt;v-monsalvee@microsoft.com&gt;"/>
    <s v="Si"/>
    <s v="Mauricio"/>
    <s v="Completado"/>
    <s v="A11y-1STPARTY; A11yMAS; A11yMASP3; CommonBrowsers; HCL; HCL_OLP - MayJune FY22 New Update; MAS 1.4.3; NewBaselineAssessment; RecID_8303"/>
    <s v="Cambiar el color para que cumpla 4.5:1. Ojalá no negro Para este bug se debe trabajar con el Software Colour Contrast Analyser. Link para descargar software: https://www.tpgi.com/color-contrast-checker/"/>
    <x v="0"/>
    <s v="&lt;div style=&quot;box-sizing:border-box;&quot;&gt;&lt;b&gt;&lt;/b&gt; &lt;/div&gt;&lt;div style=&quot;box-sizing:border-box;&quot;&gt;&lt;span style=&quot;box-sizing:border-box;&quot;&gt;&lt;p style=&quot;font-weight:400;margin:0in;&quot;&gt;&lt;b style=&quot;&quot;&gt;PWD Impact: -&lt;/b&gt;&lt;br&gt; &lt;/p&gt;&lt;/span&gt; &lt;/div&gt;&lt;div style=&quot;box-sizing:border-box;font-weight:400;&quot;&gt;&lt;span style=&quot;box-sizing:border-box;display:inline !important;&quot;&gt;&lt;span style=&quot;box-sizing:border-box;font-family:&amp;quot;Segoe UI&amp;quot;, sans-serif;display:inline !important;&quot;&gt;&lt;span style=&quot;box-sizing:border-box;display:inline !important;&quot;&gt;&lt;span style=&quot;display:inline !important;&quot;&gt;&lt;span style=&quot;display:inline !important;&quot;&gt;&lt;span style=&quot;display:inline !important;&quot;&gt;&lt;span style=&quot;display:inline !important;&quot;&gt;&lt;span style=&quot;box-sizing:border-box;font-family:&amp;quot;Segoe UI&amp;quot;, sans-serif;display:inline !important;&quot;&gt;Most people find it easier to read text when it has a sufficient contrast against its background. People with visual disabilities, low vision, limited color perception, or&amp;nbsp;&lt;/span&gt;&lt;a href=&quot;https://en.wikipedia.org/wiki/Presbyopia&quot; style=&quot;box-sizing:border-box;text-decoration:underline;cursor:pointer;font-family:&amp;quot;Segoe UI&amp;quot;, sans-serif;&quot;&gt;presbyopia&lt;/a&gt;&lt;span style=&quot;box-sizing:border-box;font-family:&amp;quot;Segoe UI&amp;quot;, sans-serif;display:inline !important;&quot;&gt;&amp;nbsp;are likely to find text unreadable when contrast is too low.&lt;/span&gt;&lt;/span&gt;&lt;/span&gt;&lt;/span&gt;&lt;/span&gt;&lt;/span&gt;&lt;/span&gt;&lt;/span&gt; &lt;/div&gt;&lt;div style=&quot;box-sizing:border-box;font-weight:400;&quot;&gt;&lt;br style=&quot;box-sizing:border-box;&quot;&gt; &lt;/div&gt;&lt;div style=&quot;box-sizing:border-box;font-weight:400;&quot;&gt;&lt;div style=&quot;box-sizing:border-box;&quot;&gt; &lt;/div&gt;&lt;div style=&quot;box-sizing:border-box;&quot;&gt;&lt;b style=&quot;box-sizing:border-box;font-family:&amp;quot;Segoe UI&amp;quot;, sans-serif;&quot;&gt;Test Environment:&lt;/b&gt;&lt;br style=&quot;box-sizing:border-box;&quot;&gt; &lt;/div&gt;&lt;div style=&quot;box-sizing:border-box;&quot;&gt; &lt;/div&gt; &lt;/div&gt;&lt;div style=&quot;box-sizing:border-box;font-weight:400;&quot;&gt; &lt;/div&gt;&lt;div style=&quot;box-sizing:border-box;font-weight:400;&quot;&gt; &lt;/div&gt;&lt;div style=&quot;box-sizing:border-box;font-weight:400;&quot;&gt; &lt;/div&gt;&lt;div style=&quot;box-sizing:border-box;font-weight:400;&quot;&gt; &lt;/div&gt;&lt;p style=&quot;box-sizing:border-box;font-weight:400;margin:0in;&quot;&gt; &lt;/p&gt;&lt;span style=&quot;box-sizing:border-box;font-weight:400;&quot;&gt;&lt;/span&gt;&lt;span style=&quot;box-sizing:border-box;font-weight:400;&quot;&gt;&lt;/span&gt;&lt;span style=&quot;box-sizing:border-box;font-weight:400;&quot;&gt;&lt;/span&gt;&lt;span&gt;OS: Windows 11 [Version 21H2 (OS Build 22000.856)]&lt;br&gt;&lt;/span&gt;&lt;div&gt;Browser: Edge Chromium (104.0.1293.54), Chrome (104.0.5112.81)&lt;br&gt; &lt;/div&gt;&lt;span&gt;&lt;/span&gt;&lt;div style=&quot;box-sizing:border-box;font-weight:400;&quot;&gt; &lt;/div&gt;&lt;div style=&quot;box-sizing:border-box;font-weight:400;&quot;&gt;&lt;span style=&quot;box-sizing:border-box;&quot;&gt;URL:&amp;nbsp;&lt;a href=&quot;https://apps.preview.powerapps.com/play/e/aa1775d6-89ae-47fb-b2cd-ebeb56163da6/a/347399e1-18ec-4002-aa22-c0285a367aaf?tenantId=72f988bf-86f1-41af-91ab-2d7cd011db47&quot;&gt;Onboarding App - Content - Power Apps&lt;/a&gt;&lt;/span&gt;&lt;br style=&quot;box-sizing:border-box;&quot;&gt; &lt;/div&gt;&lt;span style=&quot;box-sizing:border-box;font-weight:400;&quot;&gt;&lt;/span&gt;&lt;div style=&quot;box-sizing:border-box;font-weight:400;&quot;&gt; &lt;/div&gt;&lt;div style=&quot;box-sizing:border-box;font-weight:400;&quot;&gt; &lt;/div&gt;&lt;div style=&quot;box-sizing:border-box;font-weight:400;&quot;&gt;&lt;br&gt; &lt;/div&gt;&lt;div style=&quot;box-sizing:border-box;font-weight:400;&quot;&gt; &lt;/div&gt;&lt;div style=&quot;box-sizing:border-box;font-weight:400;&quot;&gt;&lt;p style=&quot;box-sizing:border-box;margin:0in;&quot;&gt;&lt;b style=&quot;box-sizing:border-box;&quot;&gt;Repro Steps:&lt;/b&gt;&lt;br style=&quot;box-sizing:border-box;&quot;&gt; &lt;/p&gt; &lt;/div&gt;&lt;div style=&quot;box-sizing:border-box;font-weight:400;&quot;&gt;&lt;div style=&quot;box-sizing:border-box;&quot;&gt;&lt;div style=&quot;box-sizing:border-box;&quot;&gt;&lt;div style=&quot;box-sizing:border-box;&quot;&gt;&lt;span style=&quot;box-sizing:border-box;&quot;&gt;&lt;div style=&quot;box-sizing:border-box;&quot;&gt; &lt;/div&gt;&lt;div style=&quot;box-sizing:border-box;&quot;&gt; &lt;/div&gt;&lt;div style=&quot;box-sizing:border-box;&quot;&gt; &lt;/div&gt;&lt;div style=&quot;box-sizing:border-box;&quot;&gt;Step 1:&lt;span style=&quot;box-sizing:border-box;&quot;&gt;&amp;nbsp;&lt;/span&gt;&lt;span style=&quot;box-sizing:border-box;color:rgb(36, 36, 36);font-family:-apple-system, BlinkMacSystemFont, &amp;quot;Segoe UI&amp;quot;, &amp;quot;Apple Color Emoji&amp;quot;, &amp;quot;Segoe UI Emoji&amp;quot;, &amp;quot;Segoe UI Web&amp;quot;, sans-serif;display:inline !important;&quot;&gt;Open the above URL in Edge Chromium Browser or chrome browser.&lt;/span&gt;&lt;span style=&quot;box-sizing:border-box;display:inline !important;&quot;&gt;&lt;/span&gt; &lt;/div&gt;&lt;/span&gt; &lt;/div&gt; &lt;/div&gt; &lt;/div&gt; &lt;/div&gt;&lt;div&gt;Step 2: 'Onboarding App - Content - Power Apps' page will appear.&amp;nbsp; &lt;/div&gt;&lt;div style=&quot;box-sizing:border-box;font-weight:400;&quot;&gt;&lt;div style=&quot;box-sizing:border-box;&quot;&gt;&lt;div style=&quot;box-sizing:border-box;&quot;&gt;&lt;div style=&quot;box-sizing:border-box;&quot;&gt;&lt;span style=&quot;box-sizing:border-box;&quot;&gt;&lt;div style=&quot;box-sizing:border-box;&quot;&gt;Step 3: &lt;span style=&quot;display:inline !important;&quot;&gt;Navigate to the ‘&lt;span style=&quot;box-sizing:border-box;&quot;&gt;CSA Role Basics&amp;nbsp;&lt;/span&gt;&lt;span style=&quot;box-sizing:border-box;&quot;&gt;button'. &amp;gt; Activate Mark as complete and feedback stars.&lt;/span&gt;&lt;/span&gt; &lt;/div&gt;&lt;div style=&quot;box-sizing:border-box;&quot;&gt;&lt;span style=&quot;box-sizing:border-box;&quot;&gt;&lt;span style=&quot;box-sizing:border-box;&quot;&gt;Step 4:&lt;span style=&quot;box-sizing:border-box;&quot;&gt;&amp;nbsp;&lt;/span&gt;&lt;/span&gt;&lt;span style=&quot;display:inline !important;&quot;&gt;Verify whether&amp;nbsp;Luminosity contrast ratio for the 'Marked as complete', 'Thanks for your feedback' text is less than 4.5:1.&lt;/span&gt;&lt;br style=&quot;box-sizing:border-box;&quot;&gt;&lt;/span&gt; &lt;/div&gt;&lt;div style=&quot;box-sizing:border-box;&quot;&gt;&lt;span style=&quot;box-sizing:border-box;&quot;&gt;&lt;/span&gt; &lt;/div&gt;&lt;div style=&quot;box-sizing:border-box;&quot;&gt;&lt;span style=&quot;box-sizing:border-box;&quot;&gt;&lt;/span&gt; &lt;/div&gt;&lt;div style=&quot;box-sizing:border-box;&quot;&gt;&lt;span style=&quot;box-sizing:border-box;&quot;&gt;&lt;span style=&quot;box-sizing:border-box;font-family:Calibri, sans-serif;font-size:14.6667px;display:inline !important;&quot;&gt;&lt;span style=&quot;box-sizing:border-box;font-size:14px;display:inline !important;&quot;&gt;&lt;br style=&quot;box-sizing:border-box;&quot;&gt;&lt;/span&gt;&lt;/span&gt;&lt;/span&gt; &lt;/div&gt;&lt;/span&gt; &lt;/div&gt; &lt;/div&gt; &lt;/div&gt; &lt;/div&gt;&lt;div style=&quot;box-sizing:border-box;font-weight:400;&quot;&gt;&lt;div style=&quot;box-sizing:border-box;&quot;&gt;&lt;div style=&quot;box-sizing:border-box;&quot;&gt;&lt;b style=&quot;box-sizing:border-box;&quot;&gt;&lt;/b&gt; &lt;/div&gt; &lt;/div&gt; &lt;/div&gt;&lt;div style=&quot;box-sizing:border-box;font-weight:400;&quot;&gt;&lt;div style=&quot;box-sizing:border-box;&quot;&gt;&lt;div style=&quot;box-sizing:border-box;&quot;&gt;&lt;b style=&quot;box-sizing:border-box;&quot;&gt;Actual Result:&lt;/b&gt;&lt;br style=&quot;box-sizing:border-box;&quot;&gt; &lt;/div&gt; &lt;/div&gt; &lt;/div&gt;&lt;div style=&quot;box-sizing:border-box;font-weight:400;&quot;&gt; &lt;/div&gt;&lt;div style=&quot;box-sizing:border-box;font-weight:400;&quot;&gt;&lt;b style=&quot;box-sizing:border-box;&quot;&gt;&lt;span style=&quot;box-sizing:border-box;display:inline !important;&quot;&gt;&lt;/span&gt;&lt;/b&gt; &lt;/div&gt;&lt;div style=&quot;box-sizing:border-box;font-weight:400;&quot;&gt; &lt;/div&gt;&lt;div style=&quot;box-sizing:border-box;&quot;&gt;&lt;div style=&quot;font-weight:400;box-sizing:border-box;&quot;&gt; &lt;/div&gt; &lt;/div&gt;&lt;div style=&quot;box-sizing:border-box;&quot;&gt; &lt;/div&gt;&lt;div&gt;Luminosity contrast ratio for the 'Marked as complete' and 'Thanks for your feedback' text (2.4) is less than 4.5:1. &lt;/div&gt;&lt;div style=&quot;box-sizing:border-box;&quot;&gt;&lt;span&gt;&lt;/span&gt; &lt;/div&gt;&lt;div style=&quot;box-sizing:border-box;font-weight:400;&quot;&gt;&lt;br style=&quot;box-sizing:border-box;&quot;&gt; &lt;/div&gt;&lt;div style=&quot;box-sizing:border-box;&quot;&gt;&lt;div style=&quot;font-weight:400;box-sizing:border-box;&quot;&gt; &lt;/div&gt;&lt;div style=&quot;box-sizing:border-box;&quot;&gt;&lt;b style=&quot;box-sizing:border-box;&quot;&gt;Expected Result:&lt;br style=&quot;box-sizing:border-box;&quot;&gt;&lt;/b&gt;&lt;div style=&quot;font-weight:400;box-sizing:border-box;&quot;&gt;&lt;div style=&quot;box-sizing:border-box;&quot;&gt;&lt;span style=&quot;display:inline !important;&quot;&gt;&lt;span style=&quot;display:inline !important;&quot;&gt;&lt;span style=&quot;font-family:&amp;quot;Segoe UI&amp;quot;, system-ui, &amp;quot;Apple Color Emoji&amp;quot;, &amp;quot;Segoe UI Emoji&amp;quot;, sans-serif;display:inline !important;&quot;&gt;&lt;/span&gt;&lt;/span&gt;&lt;/span&gt; &lt;/div&gt; &lt;/div&gt;Luminosity contrast ratio for the 'Marked as complete' and 'Thanks for your feedback' text&amp;nbsp;&lt;span style=&quot;box-sizing:border-box;display:inline !important;&quot;&gt;should be equal to or greater than minimum contrast ratio 4.5:1.&lt;/span&gt;&lt;div style=&quot;box-sizing:border-box;&quot;&gt;&lt;div style=&quot;box-sizing:border-box;&quot;&gt;&lt;br style=&quot;box-sizing:border-box;&quot;&gt; &lt;/div&gt;&lt;div style=&quot;box-sizing:border-box;&quot;&gt;&lt;div style=&quot;box-sizing:border-box;font-family:&amp;quot;Segoe UI&amp;quot;, system-ui, &amp;quot;Apple Color Emoji&amp;quot;, &amp;quot;Segoe UI Emoji&amp;quot;, sans-serif;&quot;&gt;&lt;b style=&quot;box-sizing:border-box;&quot;&gt;&lt;/b&gt; &lt;/div&gt;&lt;div style=&quot;box-sizing:border-box;font-family:&amp;quot;Segoe UI&amp;quot;, system-ui, &amp;quot;Apple Color Emoji&amp;quot;, &amp;quot;Segoe UI Emoji&amp;quot;, sans-serif;&quot;&gt;&lt;div style=&quot;box-sizing:border-box;&quot;&gt;&lt;b style=&quot;box-sizing:border-box;&quot;&gt;&lt;/b&gt; &lt;/div&gt;&lt;div style=&quot;box-sizing:border-box;&quot;&gt;&lt;div style=&quot;box-sizing:border-box;&quot;&gt;&lt;b style=&quot;box-sizing:border-box;&quot;&gt;MAS Reference Link:&lt;/b&gt; &lt;/div&gt;&lt;div style=&quot;box-sizing:border-box;&quot;&gt;&lt;a href=&quot;https://microsoft.sharepoint.com/teams/msenable/_layouts/15/WopiFrame.aspx?sourcedoc=%7ba73546c7-765f-489c-b18f-afb659fe99e6%7d&quot; style=&quot;box-sizing:border-box;text-decoration:underline;cursor:pointer;&quot;&gt;MAS 1.4.3 - Contrast (Minimum)&lt;/a&gt; &lt;/div&gt;&lt;div style=&quot;box-sizing:border-box;&quot;&gt;&lt;br style=&quot;box-sizing:border-box;&quot;&gt; &lt;/div&gt;&lt;div style=&quot;box-sizing:border-box;&quot;&gt; &lt;/div&gt;&lt;div style=&quot;box-sizing:border-box;&quot;&gt;&lt;b style=&quot;box-sizing:border-box;&quot;&gt;WCAG Reference Link:&amp;nbsp;&amp;nbsp;&lt;/b&gt; &lt;/div&gt;&lt;div style=&quot;box-sizing:border-box;&quot;&gt;&lt;a href=&quot;https://www.w3.org/WAI/WCAG21/Understanding/contrast-minimum.html&quot; style=&quot;box-sizing:border-box;text-decoration:underline;cursor:pointer;&quot;&gt;https://www.w3.org/WAI/WCAG21/Understanding/contrast-minimum.html&lt;/a&gt; &lt;/div&gt; &lt;/div&gt; &lt;/div&gt; &lt;/div&gt; &lt;/div&gt; &lt;/div&gt; &lt;/div&gt;&lt;div&gt;&lt;div&gt; &lt;/div&gt; &lt;/div&gt;&lt;div style=&quot;box-sizing:border-box;font-weight:400;&quot;&gt;&lt;div style=&quot;box-sizing:border-box;&quot;&gt;&lt;div style=&quot;box-sizing:border-box;&quot;&gt;&lt;div style=&quot;box-sizing:border-box;&quot;&gt; &lt;/div&gt; &lt;/div&gt; &lt;/div&gt; &lt;/div&gt;"/>
    <s v="No"/>
    <x v="1"/>
    <s v="Priyanka Mangla "/>
  </r>
  <r>
    <n v="1517947"/>
    <s v="Bug"/>
    <s v="[Supporting the platform - OLP Power Apps - Content page]: After resizing the page at 400% zoom, Hamburger is not getting closed using ‘ESC’ key."/>
    <s v="New"/>
    <s v="Enrique Monsalve &lt;v-monsalvee@microsoft.com&gt;"/>
    <m/>
    <s v="William"/>
    <s v="Investigando"/>
    <s v="A11y-1STPARTY; A11yMAS; A11yMASP3; CommonBrowsers; HCL; HCL_OLP - MayJune FY22 New Update; MAS 1.4.10; NewBaselineAssessment; RecID_8303"/>
    <s v="Revisar si es PowerApps dependency, ya que no se ha encontrado una función que implemente lo que el usuario oprima en el teclado."/>
    <x v="1"/>
    <s v="&lt;div style=&quot;box-sizing:border-box;&quot;&gt;&lt;b&gt;&lt;/b&gt; &lt;/div&gt;&lt;div style=&quot;box-sizing:border-box;&quot;&gt;&lt;b&gt;PWD Impact:&amp;nbsp;&lt;/b&gt;&lt;br&gt; &lt;/div&gt;&lt;div style=&quot;box-sizing:border-box;font-weight:400;&quot;&gt;&lt;span style=&quot;box-sizing:border-box;display:inline !important;&quot;&gt;&lt;span style=&quot;box-sizing:border-box;font-family:&amp;quot;Segoe UI&amp;quot;, sans-serif;display:inline !important;&quot;&gt;&lt;span style=&quot;box-sizing:border-box;display:inline !important;&quot;&gt;&lt;span style=&quot;display:inline !important;&quot;&gt;Low vision users who need to enlarge text for navigation through the page are getting impacted if the Hamburger is not getting closed via ‘ESC’ key after resizing the page at 400% zoom.&lt;/span&gt;&lt;/span&gt;&lt;/span&gt;&lt;/span&gt; &lt;/div&gt;&lt;div style=&quot;box-sizing:border-box;font-weight:400;&quot;&gt;&lt;br style=&quot;box-sizing:border-box;&quot;&gt; &lt;/div&gt;&lt;div style=&quot;box-sizing:border-box;font-weight:400;&quot;&gt;&lt;div style=&quot;box-sizing:border-box;&quot;&gt; &lt;/div&gt;&lt;div style=&quot;box-sizing:border-box;&quot;&gt;&lt;b style=&quot;box-sizing:border-box;font-family:&amp;quot;Segoe UI&amp;quot;, sans-serif;&quot;&gt;Test Environment:&lt;/b&gt;&lt;br style=&quot;box-sizing:border-box;&quot;&gt; &lt;/div&gt;&lt;div style=&quot;box-sizing:border-box;&quot;&gt; &lt;/div&gt; &lt;/div&gt;&lt;div style=&quot;box-sizing:border-box;font-weight:400;&quot;&gt; &lt;/div&gt;&lt;div style=&quot;box-sizing:border-box;font-weight:400;&quot;&gt; &lt;/div&gt;&lt;div style=&quot;box-sizing:border-box;font-weight:400;&quot;&gt; &lt;/div&gt;&lt;div style=&quot;box-sizing:border-box;font-weight:400;&quot;&gt; &lt;/div&gt;&lt;p style=&quot;box-sizing:border-box;font-weight:400;margin:0in;&quot;&gt; &lt;/p&gt;&lt;span style=&quot;box-sizing:border-box;font-weight:400;&quot;&gt;&lt;/span&gt;&lt;span style=&quot;box-sizing:border-box;font-weight:400;&quot;&gt;&lt;/span&gt;&lt;span style=&quot;box-sizing:border-box;font-weight:400;&quot;&gt;OS: Windows 11 [Version 21H2 (OS Build 22000.675)]&lt;br style=&quot;box-sizing:border-box;&quot;&gt;&lt;/span&gt;&lt;div style=&quot;box-sizing:border-box;font-weight:400;&quot;&gt;Browser: Edge Chromium (102.0.1245.30), Chrome (102.0.5005.63) &lt;/div&gt;&lt;div style=&quot;box-sizing:border-box;font-weight:400;&quot;&gt;&lt;span style=&quot;box-sizing:border-box;&quot;&gt;URL:&amp;nbsp;&lt;a href=&quot;https://apps.preview.powerapps.com/play/e/aa1775d6-89ae-47fb-b2cd-ebeb56163da6/a/347399e1-18ec-4002-aa22-c0285a367aaf?tenantId=72f988bf-86f1-41af-91ab-2d7cd011db47&quot; style=&quot;box-sizing:border-box;text-decoration:underline;&quot;&gt;Onboarding App - Content - Power Apps&lt;/a&gt;&lt;/span&gt;&lt;br style=&quot;box-sizing:border-box;&quot;&gt; &lt;/div&gt;&lt;span style=&quot;box-sizing:border-box;font-weight:400;&quot;&gt;&lt;/span&gt;&lt;div style=&quot;box-sizing:border-box;font-weight:400;&quot;&gt; &lt;/div&gt;&lt;div style=&quot;box-sizing:border-box;font-weight:400;&quot;&gt; &lt;/div&gt;&lt;div style=&quot;box-sizing:border-box;font-weight:400;&quot;&gt;&lt;br style=&quot;box-sizing:border-box;&quot;&gt; &lt;/div&gt;&lt;div style=&quot;box-sizing:border-box;font-weight:400;&quot;&gt;&lt;span style=&quot;box-sizing:border-box;&quot;&gt;&lt;b style=&quot;box-sizing:border-box;&quot;&gt;&lt;/b&gt;&lt;/span&gt; &lt;/div&gt;&lt;p style=&quot;box-sizing:border-box;font-weight:400;margin:0in;&quot;&gt;&lt;span style=&quot;box-sizing:border-box;font-weight:bold;&quot;&gt;Pre-requisite:&lt;/span&gt; &lt;/p&gt;&lt;p style=&quot;box-sizing:border-box;font-weight:400;margin:0in;&quot;&gt;Step 1: Enable Display setting to a scale resolution of&lt;span&gt;&amp;nbsp;&lt;/span&gt;&lt;span style=&quot;box-sizing:border-box;display:inline !important;&quot;&gt;1280&amp;nbsp;&lt;/span&gt;* 1024 and update scaling to 100%. &lt;/p&gt;&lt;p style=&quot;box-sizing:border-box;font-weight:400;margin:0in;&quot;&gt;Step 2: Enable the browser setting to 400% Zoom mode. &lt;/p&gt;&lt;div style=&quot;box-sizing:border-box;font-weight:400;&quot;&gt;&lt;br&gt; &lt;/div&gt;&lt;div style=&quot;box-sizing:border-box;font-weight:400;&quot;&gt; &lt;/div&gt;&lt;div style=&quot;box-sizing:border-box;font-weight:400;&quot;&gt;&lt;p style=&quot;box-sizing:border-box;margin:0in;&quot;&gt;&lt;b style=&quot;box-sizing:border-box;&quot;&gt;Repro Steps:&lt;/b&gt;&lt;br style=&quot;box-sizing:border-box;&quot;&gt; &lt;/p&gt; &lt;/div&gt;&lt;div style=&quot;box-sizing:border-box;font-weight:400;&quot;&gt;&lt;div style=&quot;box-sizing:border-box;&quot;&gt;&lt;div style=&quot;box-sizing:border-box;&quot;&gt;&lt;div style=&quot;box-sizing:border-box;&quot;&gt;&lt;span style=&quot;box-sizing:border-box;&quot;&gt;&lt;div style=&quot;box-sizing:border-box;&quot;&gt; &lt;/div&gt;&lt;div style=&quot;box-sizing:border-box;&quot;&gt; &lt;/div&gt;&lt;div style=&quot;box-sizing:border-box;&quot;&gt; &lt;/div&gt;&lt;div style=&quot;box-sizing:border-box;&quot;&gt;Step 1:&lt;span style=&quot;box-sizing:border-box;&quot;&gt;&amp;nbsp;&lt;/span&gt;&lt;span style=&quot;box-sizing:border-box;color:rgb(36, 36, 36);font-family:-apple-system, BlinkMacSystemFont, &amp;quot;Segoe UI&amp;quot;, &amp;quot;Apple Color Emoji&amp;quot;, &amp;quot;Segoe UI Emoji&amp;quot;, &amp;quot;Segoe UI Web&amp;quot;, sans-serif;display:inline !important;&quot;&gt;Open the above URL in Edge Chromium Browser or chrome browser.&lt;/span&gt;&lt;span style=&quot;box-sizing:border-box;display:inline !important;&quot;&gt;&lt;/span&gt; &lt;/div&gt;&lt;/span&gt; &lt;/div&gt; &lt;/div&gt; &lt;/div&gt; &lt;/div&gt;&lt;div style=&quot;box-sizing:border-box;font-weight:400;&quot;&gt;Step 2: &lt;span style=&quot;display:inline !important;&quot;&gt;'Onboarding App - Content Page - Power Apps' page will appear.&amp;nbsp;&lt;/span&gt; &lt;/div&gt;&lt;div style=&quot;box-sizing:border-box;font-weight:400;&quot;&gt;&lt;div style=&quot;box-sizing:border-box;&quot;&gt;&lt;div style=&quot;box-sizing:border-box;&quot;&gt;&lt;div style=&quot;box-sizing:border-box;&quot;&gt;&lt;span style=&quot;box-sizing:border-box;&quot;&gt;&lt;div style=&quot;box-sizing:border-box;&quot;&gt;Step 3: Navigate and activate the 'hamburger' control. &lt;/div&gt;&lt;div style=&quot;box-sizing:border-box;&quot;&gt;&lt;span style=&quot;box-sizing:border-box;&quot;&gt;&lt;span style=&quot;box-sizing:border-box;&quot;&gt;Step 4:&lt;span style=&quot;box-sizing:border-box;&quot;&gt;&amp;nbsp;Verify whether &lt;/span&gt;&lt;/span&gt;After resizing the page at 400% zoom, Hamburger is getting closed via ‘ESC’ key&amp;nbsp;or not.&lt;br style=&quot;box-sizing:border-box;&quot;&gt;&lt;/span&gt; &lt;/div&gt;&lt;div style=&quot;box-sizing:border-box;&quot;&gt;&lt;span style=&quot;box-sizing:border-box;&quot;&gt;&lt;/span&gt; &lt;/div&gt;&lt;div style=&quot;box-sizing:border-box;&quot;&gt;&lt;span style=&quot;box-sizing:border-box;&quot;&gt;&lt;/span&gt; &lt;/div&gt;&lt;div style=&quot;box-sizing:border-box;&quot;&gt;&lt;span style=&quot;box-sizing:border-box;&quot;&gt;&lt;span style=&quot;box-sizing:border-box;font-family:Calibri, sans-serif;font-size:14.6667px;display:inline !important;&quot;&gt;&lt;span style=&quot;box-sizing:border-box;font-size:14px;display:inline !important;&quot;&gt;&lt;br style=&quot;box-sizing:border-box;&quot;&gt;&lt;/span&gt;&lt;/span&gt;&lt;/span&gt; &lt;/div&gt;&lt;/span&gt; &lt;/div&gt; &lt;/div&gt; &lt;/div&gt; &lt;/div&gt;&lt;div style=&quot;box-sizing:border-box;font-weight:400;&quot;&gt;&lt;div style=&quot;box-sizing:border-box;&quot;&gt;&lt;div style=&quot;box-sizing:border-box;&quot;&gt;&lt;b style=&quot;box-sizing:border-box;&quot;&gt;&lt;/b&gt; &lt;/div&gt; &lt;/div&gt; &lt;/div&gt;&lt;div style=&quot;box-sizing:border-box;font-weight:400;&quot;&gt;&lt;div style=&quot;box-sizing:border-box;&quot;&gt;&lt;div style=&quot;box-sizing:border-box;&quot;&gt;&lt;b style=&quot;box-sizing:border-box;&quot;&gt;Actual Result:&lt;/b&gt;&lt;br style=&quot;box-sizing:border-box;&quot;&gt; &lt;/div&gt; &lt;/div&gt; &lt;/div&gt;&lt;div style=&quot;box-sizing:border-box;font-weight:400;&quot;&gt; &lt;/div&gt;&lt;div style=&quot;box-sizing:border-box;font-weight:400;&quot;&gt;&lt;b style=&quot;box-sizing:border-box;&quot;&gt;&lt;span style=&quot;box-sizing:border-box;display:inline !important;&quot;&gt;&lt;/span&gt;&lt;/b&gt; &lt;/div&gt;&lt;div style=&quot;box-sizing:border-box;font-weight:400;&quot;&gt; &lt;/div&gt;&lt;div style=&quot;box-sizing:border-box;&quot;&gt;&lt;div style=&quot;font-weight:400;box-sizing:border-box;&quot;&gt;After resizing the page at 400% zoom, Hamburger is not getting closed using ‘ESC’ key. &lt;/div&gt;&lt;div style=&quot;box-sizing:border-box;&quot;&gt;&lt;b&gt;Observation:&amp;nbsp;&lt;/b&gt;&lt;span&gt;Hamburger is not getting closed by pressing 'Esc' key and not performing any action upon pressing 'ESC' key from keyboard.&lt;/span&gt; &lt;/div&gt;&lt;div style=&quot;box-sizing:border-box;&quot;&gt;&lt;span&gt;&lt;b&gt;&lt;/b&gt;&lt;/span&gt; &lt;/div&gt; &lt;/div&gt;&lt;div style=&quot;box-sizing:border-box;&quot;&gt;&lt;b&gt;&lt;/b&gt;&lt;div style=&quot;box-sizing:border-box;font-weight:400;&quot;&gt;&lt;span style=&quot;box-sizing:border-box;&quot;&gt;&lt;b style=&quot;box-sizing:border-box;&quot;&gt;Note:&lt;span&gt;&amp;nbsp;&lt;/span&gt;&lt;/b&gt;Same issue is observed for the 200 % zoom mode also.&lt;/span&gt; &lt;/div&gt; &lt;/div&gt;&lt;div style=&quot;box-sizing:border-box;&quot;&gt;&lt;br&gt; &lt;/div&gt;&lt;div style=&quot;box-sizing:border-box;font-weight:400;&quot;&gt;&lt;div style=&quot;box-sizing:border-box;&quot;&gt; &lt;/div&gt;&lt;div style=&quot;box-sizing:border-box;&quot;&gt;&lt;b style=&quot;box-sizing:border-box;&quot;&gt;Expected Result:&lt;br style=&quot;box-sizing:border-box;&quot;&gt;&lt;/b&gt;&lt;div style=&quot;box-sizing:border-box;&quot;&gt;&lt;div style=&quot;box-sizing:border-box;&quot;&gt; &lt;/div&gt; &lt;/div&gt;&lt;span style=&quot;box-sizing:border-box;display:inline !important;&quot;&gt;&lt;/span&gt;After resizing the page at 400% zoom, Hamburger should get closed using ‘ESC’ key.&lt;span style=&quot;box-sizing:border-box;display:inline !important;&quot;&gt;&lt;/span&gt; &lt;/div&gt;&lt;div style=&quot;box-sizing:border-box;&quot;&gt;&lt;span style=&quot;box-sizing:border-box;display:inline !important;&quot;&gt;&lt;span style=&quot;display:inline !important;&quot;&gt;Ex: By pressing 'ESC' key hamburger should get closed.&lt;/span&gt;&lt;span style=&quot;display:inline !important;&quot;&gt;&lt;/span&gt;&lt;/span&gt; &lt;/div&gt;&lt;div style=&quot;box-sizing:border-box;&quot;&gt;&lt;span style=&quot;box-sizing:border-box;display:inline !important;&quot;&gt;&lt;span style=&quot;display:inline !important;&quot;&gt;&lt;br&gt;&lt;/span&gt;&lt;/span&gt; &lt;/div&gt; &lt;/div&gt;&lt;div style=&quot;box-sizing:border-box;font-weight:400;&quot;&gt;&lt;div style=&quot;box-sizing:border-box;&quot;&gt;&lt;div style=&quot;box-sizing:border-box;&quot;&gt;&lt;div style=&quot;box-sizing:border-box;&quot;&gt;&lt;span style=&quot;box-sizing:border-box;font-weight:bold;&quot;&gt;&lt;div style=&quot;box-sizing:border-box;font-weight:400;&quot;&gt;&lt;div style=&quot;box-sizing:border-box;&quot;&gt;&lt;b style=&quot;box-sizing:border-box;&quot;&gt;&lt;/b&gt; &lt;/div&gt;&lt;div style=&quot;box-sizing:border-box;&quot;&gt;&lt;div style=&quot;box-sizing:border-box;font-family:&amp;quot;Segoe UI&amp;quot;, system-ui, &amp;quot;Apple Color Emoji&amp;quot;, &amp;quot;Segoe UI Emoji&amp;quot;, sans-serif;margin:0px 0in;&quot;&gt;&lt;span style=&quot;box-sizing:border-box;&quot;&gt;&lt;b style=&quot;box-sizing:border-box;&quot;&gt;MAS Reference:&lt;/b&gt;&lt;/span&gt; &lt;/div&gt;&lt;div style=&quot;box-sizing:border-box;font-family:&amp;quot;Segoe UI&amp;quot;, system-ui, &amp;quot;Apple Color Emoji&amp;quot;, &amp;quot;Segoe UI Emoji&amp;quot;, sans-serif;margin:0px 0in;&quot;&gt;&lt;span style=&quot;box-sizing:border-box;&quot;&gt;&lt;a href=&quot;https://microsoft.sharepoint.com/:w:/r/sites/accessibility/_layouts/15/Doc.aspx?sourcedoc=%7b01839D9A-2E1B-423E-B7FA-A9BAD43FD301%7d&amp;amp;file=MAS%201.4.10%20%E2%80%93%20Reflow.docx&amp;amp;wdLOR=cE644E791-4BD0-43AB-8EE6-07C443CBDD40&amp;amp;action=default&amp;amp;mobileredirect=true&quot; style=&quot;box-sizing:border-box;text-decoration:underline;cursor:pointer;&quot;&gt;MAS 1.4.10 – Reflow&lt;/a&gt;&lt;br style=&quot;box-sizing:border-box;&quot;&gt;&lt;/span&gt; &lt;/div&gt;&lt;div style=&quot;box-sizing:border-box;font-family:&amp;quot;Segoe UI&amp;quot;, system-ui, &amp;quot;Apple Color Emoji&amp;quot;, &amp;quot;Segoe UI Emoji&amp;quot;, sans-serif;margin:0px 0in;&quot;&gt;&lt;br style=&quot;box-sizing:border-box;&quot;&gt; &lt;/div&gt;&lt;div style=&quot;box-sizing:border-box;font-family:&amp;quot;Segoe UI&amp;quot;, system-ui, &amp;quot;Apple Color Emoji&amp;quot;, &amp;quot;Segoe UI Emoji&amp;quot;, sans-serif;margin:0px 0in;&quot;&gt;&lt;b style=&quot;box-sizing:border-box;&quot;&gt;WCAG Reference:&lt;/b&gt; &lt;/div&gt;&lt;div style=&quot;box-sizing:border-box;font-family:&amp;quot;Segoe UI&amp;quot;, system-ui, &amp;quot;Apple Color Emoji&amp;quot;, &amp;quot;Segoe UI Emoji&amp;quot;, sans-serif;margin:0px 0in;&quot;&gt;&lt;a href=&quot;https://www.w3.org/WAI/WCAG21/Understanding/non-text-content.html&quot; style=&quot;box-sizing:border-box;text-decoration:underline;cursor:pointer;&quot;&gt;&lt;span lang=en-IN style=&quot;box-sizing:border-box;&quot;&gt;&lt;/span&gt;&lt;/a&gt; &lt;/div&gt;&lt;a href=&quot;https://www.w3.org/WAI/WCAG21/Understanding/reflow.html&quot; style=&quot;box-sizing:border-box;text-decoration:underline;cursor:pointer;font-family:&amp;quot;Segoe UI&amp;quot;, system-ui, &amp;quot;Apple Color Emoji&amp;quot;, &amp;quot;Segoe UI Emoji&amp;quot;, sans-serif;&quot;&gt;https://www.w3.org/WAI/WCAG21/Understanding/reflow.html&lt;/a&gt; &lt;/div&gt; &lt;/div&gt;&lt;/span&gt; &lt;/div&gt; &lt;/div&gt; &lt;/div&gt; &lt;/div&gt;"/>
    <s v="No"/>
    <x v="2"/>
    <s v="Enrique Monsalve "/>
  </r>
  <r>
    <n v="1517616"/>
    <s v="Bug"/>
    <s v="[Screen Readers - OLP Power Apps - Content page]: Navigation and search landmarks/regions are not defined in the page."/>
    <s v="New"/>
    <s v="Enrique Monsalve &lt;v-monsalvee@microsoft.com&gt;"/>
    <s v="No revisado"/>
    <m/>
    <s v="Completado"/>
    <s v="A11y-1STPARTY; A11yMAS; A11yMASP3; CommonScreenReaders; HCL; HCL_OLP - MayJune FY22 New Update; MAS 1.3.1; NewBaselineAssessment; RecID_8303"/>
    <s v="Comentar en ADO con links de PA limitations."/>
    <x v="1"/>
    <s v="&lt;div style=&quot;box-sizing:border-box;&quot;&gt;&lt;b&gt;&lt;/b&gt; &lt;/div&gt;&lt;div style=&quot;box-sizing:border-box;font-weight:400;&quot;&gt;&lt;b style=&quot;box-sizing:border-box;&quot;&gt;PWD Impact: -&lt;/b&gt;&lt;br style=&quot;box-sizing:border-box;&quot;&gt; &lt;/div&gt;&lt;div style=&quot;box-sizing:border-box;font-weight:400;&quot;&gt;&lt;span style=&quot;box-sizing:border-box;display:inline !important;&quot;&gt;&lt;span style=&quot;box-sizing:border-box;font-family:&amp;quot;Segoe UI&amp;quot;, sans-serif;display:inline !important;&quot;&gt;&lt;span style=&quot;box-sizing:border-box;display:inline !important;&quot;&gt;&lt;span style=&quot;display:inline !important;&quot;&gt;Users who rely on screen readers&amp;nbsp;will face difficulty in navigating through the sections in the page using landmark/region short cut keys if navigation and search landmarks/regions are not defined in the page.&lt;/span&gt;&lt;/span&gt;&lt;/span&gt;&lt;/span&gt; &lt;/div&gt;&lt;div style=&quot;box-sizing:border-box;font-weight:400;&quot;&gt;&lt;br style=&quot;box-sizing:border-box;&quot;&gt; &lt;/div&gt;&lt;div style=&quot;box-sizing:border-box;font-weight:400;&quot;&gt;&lt;div style=&quot;box-sizing:border-box;&quot;&gt; &lt;/div&gt;&lt;div style=&quot;box-sizing:border-box;&quot;&gt;&lt;b style=&quot;box-sizing:border-box;font-family:&amp;quot;Segoe UI&amp;quot;, sans-serif;&quot;&gt;Test Environment:&lt;/b&gt;&lt;br style=&quot;box-sizing:border-box;&quot;&gt; &lt;/div&gt;&lt;div style=&quot;box-sizing:border-box;&quot;&gt; &lt;/div&gt; &lt;/div&gt;&lt;div style=&quot;box-sizing:border-box;font-weight:400;&quot;&gt; &lt;/div&gt;&lt;div style=&quot;box-sizing:border-box;font-weight:400;&quot;&gt; &lt;/div&gt;&lt;div style=&quot;box-sizing:border-box;font-weight:400;&quot;&gt; &lt;/div&gt;&lt;div style=&quot;box-sizing:border-box;font-weight:400;&quot;&gt; &lt;/div&gt;&lt;p style=&quot;box-sizing:border-box;font-weight:400;margin:0in;&quot;&gt; &lt;/p&gt;&lt;span style=&quot;box-sizing:border-box;font-weight:400;&quot;&gt;&lt;/span&gt;&lt;span style=&quot;box-sizing:border-box;font-weight:400;&quot;&gt;&lt;/span&gt;&lt;span style=&quot;box-sizing:border-box;font-weight:400;&quot;&gt;OS: Windows 11 [Version 21H2 (OS Build 22000.675)]&lt;br style=&quot;box-sizing:border-box;&quot;&gt;&lt;/span&gt;&lt;div style=&quot;box-sizing:border-box;font-weight:400;&quot;&gt;Browser: Edge Chromium (102.0.1245.30), Chrome (102.0.5005.63)&lt;br style=&quot;box-sizing:border-box;&quot;&gt; &lt;/div&gt;&lt;div style=&quot;box-sizing:border-box;font-weight:400;&quot;&gt;Screen readers: NVDA (2022.1), JAWS (2022.2204.20) &lt;/div&gt;&lt;div style=&quot;box-sizing:border-box;font-weight:400;&quot;&gt;&lt;span style=&quot;box-sizing:border-box;&quot;&gt;URL:&amp;nbsp;&lt;a href=&quot;https://apps.preview.powerapps.com/play/e/aa1775d6-89ae-47fb-b2cd-ebeb56163da6/a/347399e1-18ec-4002-aa22-c0285a367aaf?tenantId=72f988bf-86f1-41af-91ab-2d7cd011db47&quot;&gt;Onboarding App - Content - Power Apps&lt;/a&gt;&lt;/span&gt;&lt;br style=&quot;box-sizing:border-box;&quot;&gt; &lt;/div&gt;&lt;span style=&quot;box-sizing:border-box;font-weight:400;&quot;&gt;&lt;/span&gt;&lt;div style=&quot;box-sizing:border-box;font-weight:400;&quot;&gt; &lt;/div&gt;&lt;div style=&quot;box-sizing:border-box;font-weight:400;&quot;&gt; &lt;/div&gt;&lt;div style=&quot;box-sizing:border-box;font-weight:400;&quot;&gt;&lt;br style=&quot;box-sizing:border-box;&quot;&gt; &lt;/div&gt;&lt;div style=&quot;box-sizing:border-box;font-weight:400;&quot;&gt;&lt;span style=&quot;box-sizing:border-box;&quot;&gt;&lt;b style=&quot;box-sizing:border-box;&quot;&gt;Prerequisite:&lt;/b&gt;&lt;/span&gt; &lt;/div&gt;&lt;div style=&quot;box-sizing:border-box;font-weight:400;&quot;&gt;&lt;span style=&quot;box-sizing:border-box;&quot;&gt;Turn on NVDA/JAWS. Enable browse mode using 'insert+space'/'insert+Z' key.&lt;/span&gt;&lt;span style=&quot;box-sizing:border-box;&quot;&gt;&lt;b style=&quot;box-sizing:border-box;&quot;&gt;&lt;br style=&quot;box-sizing:border-box;&quot;&gt;&lt;/b&gt;&lt;/span&gt; &lt;/div&gt;&lt;div style=&quot;box-sizing:border-box;font-weight:400;&quot;&gt;&lt;span style=&quot;box-sizing:border-box;&quot;&gt;&lt;br style=&quot;box-sizing:border-box;&quot;&gt;&lt;/span&gt; &lt;/div&gt;&lt;div style=&quot;box-sizing:border-box;font-weight:400;&quot;&gt;&lt;p style=&quot;box-sizing:border-box;margin:0in;&quot;&gt;&lt;b style=&quot;box-sizing:border-box;&quot;&gt;Repro Steps:&lt;/b&gt;&lt;br style=&quot;box-sizing:border-box;&quot;&gt; &lt;/p&gt; &lt;/div&gt;&lt;div style=&quot;box-sizing:border-box;font-weight:400;&quot;&gt;&lt;div style=&quot;box-sizing:border-box;&quot;&gt;&lt;div style=&quot;box-sizing:border-box;&quot;&gt;&lt;div style=&quot;box-sizing:border-box;&quot;&gt;&lt;span style=&quot;box-sizing:border-box;&quot;&gt;&lt;div style=&quot;box-sizing:border-box;&quot;&gt; &lt;/div&gt;&lt;div style=&quot;box-sizing:border-box;&quot;&gt; &lt;/div&gt;&lt;div style=&quot;box-sizing:border-box;&quot;&gt; &lt;/div&gt;&lt;div style=&quot;box-sizing:border-box;&quot;&gt;Step 1:&lt;span style=&quot;box-sizing:border-box;&quot;&gt;&amp;nbsp;&lt;/span&gt;&lt;span style=&quot;box-sizing:border-box;color:rgb(36, 36, 36);font-family:-apple-system, BlinkMacSystemFont, &amp;quot;Segoe UI&amp;quot;, &amp;quot;Apple Color Emoji&amp;quot;, &amp;quot;Segoe UI Emoji&amp;quot;, &amp;quot;Segoe UI Web&amp;quot;, sans-serif;display:inline !important;&quot;&gt;Open the above URL in Edge Chromium Browser or chrome browser.&lt;/span&gt;&lt;span style=&quot;box-sizing:border-box;display:inline !important;&quot;&gt;&lt;/span&gt; &lt;/div&gt;&lt;/span&gt; &lt;/div&gt; &lt;/div&gt; &lt;/div&gt; &lt;/div&gt;&lt;div&gt;Step 2: 'Onboarding App - Content - Power Apps' page will appear.&amp;nbsp; &lt;/div&gt;&lt;div style=&quot;box-sizing:border-box;font-weight:400;&quot;&gt;&lt;div style=&quot;box-sizing:border-box;&quot;&gt;&lt;div style=&quot;box-sizing:border-box;&quot;&gt;&lt;div style=&quot;box-sizing:border-box;&quot;&gt;&lt;span style=&quot;box-sizing:border-box;&quot;&gt;&lt;div style=&quot;box-sizing:border-box;&quot;&gt;Step 3: Navigate on the page using short cut key 'D'/'R' or down arrow key. &lt;/div&gt;&lt;div style=&quot;box-sizing:border-box;&quot;&gt;&lt;span style=&quot;box-sizing:border-box;&quot;&gt;&lt;span style=&quot;box-sizing:border-box;&quot;&gt;Step 4:&lt;span style=&quot;box-sizing:border-box;&quot;&gt;&amp;nbsp;Verify whether &lt;/span&gt;&lt;/span&gt;Navigation and search landmarks/regions are defined in the page or not.&lt;br style=&quot;box-sizing:border-box;&quot;&gt;&lt;/span&gt; &lt;/div&gt;&lt;div style=&quot;box-sizing:border-box;&quot;&gt;&lt;span style=&quot;box-sizing:border-box;&quot;&gt;&lt;/span&gt; &lt;/div&gt;&lt;div style=&quot;box-sizing:border-box;&quot;&gt;&lt;span style=&quot;box-sizing:border-box;&quot;&gt;&lt;/span&gt; &lt;/div&gt;&lt;div style=&quot;box-sizing:border-box;&quot;&gt;&lt;span style=&quot;box-sizing:border-box;&quot;&gt;&lt;span style=&quot;box-sizing:border-box;font-family:Calibri, sans-serif;font-size:14.6667px;display:inline !important;&quot;&gt;&lt;span style=&quot;box-sizing:border-box;font-size:14px;display:inline !important;&quot;&gt;&lt;br style=&quot;box-sizing:border-box;&quot;&gt;&lt;/span&gt;&lt;/span&gt;&lt;/span&gt; &lt;/div&gt;&lt;/span&gt; &lt;/div&gt; &lt;/div&gt; &lt;/div&gt; &lt;/div&gt;&lt;div style=&quot;box-sizing:border-box;font-weight:400;&quot;&gt;&lt;div style=&quot;box-sizing:border-box;&quot;&gt;&lt;div style=&quot;box-sizing:border-box;&quot;&gt;&lt;b style=&quot;box-sizing:border-box;&quot;&gt;&lt;/b&gt; &lt;/div&gt; &lt;/div&gt; &lt;/div&gt;&lt;div style=&quot;box-sizing:border-box;font-weight:400;&quot;&gt;&lt;div style=&quot;box-sizing:border-box;&quot;&gt;&lt;div style=&quot;box-sizing:border-box;&quot;&gt;&lt;b style=&quot;box-sizing:border-box;&quot;&gt;Actual Result:&lt;/b&gt;&lt;br style=&quot;box-sizing:border-box;&quot;&gt; &lt;/div&gt; &lt;/div&gt; &lt;/div&gt;&lt;div style=&quot;box-sizing:border-box;font-weight:400;&quot;&gt; &lt;/div&gt;&lt;div style=&quot;box-sizing:border-box;font-weight:400;&quot;&gt;&lt;b style=&quot;box-sizing:border-box;&quot;&gt;&lt;span style=&quot;box-sizing:border-box;display:inline !important;&quot;&gt;&lt;/span&gt;&lt;/b&gt; &lt;/div&gt;&lt;div style=&quot;box-sizing:border-box;font-weight:400;&quot;&gt; &lt;/div&gt;&lt;div style=&quot;box-sizing:border-box;&quot;&gt;&lt;div style=&quot;font-weight:400;box-sizing:border-box;&quot;&gt;Navigation and search landmarks/regions are not defined in the page. &lt;/div&gt;&lt;div style=&quot;box-sizing:border-box;&quot;&gt;&lt;b&gt;Observation:&lt;/b&gt; &lt;/div&gt;&lt;div style=&quot;box-sizing:border-box;&quot;&gt;&lt;span&gt;&lt;b&gt;&lt;/b&gt;&lt;/span&gt; &lt;/div&gt; &lt;/div&gt;&lt;div style=&quot;box-sizing:border-box;&quot;&gt;Navigation landmark/region is not defined for all the controls present in the left side navigation panel of the page.&lt;br&gt; &lt;/div&gt;&lt;div style=&quot;box-sizing:border-box;&quot;&gt;&lt;span style=&quot;display:inline !important;&quot;&gt;Search landmark is not implemented for 'Search' edit fields in the page, while navigating using landmark/region shortcut keys D/R.&lt;/span&gt;&lt;br&gt; &lt;/div&gt;&lt;div style=&quot;box-sizing:border-box;font-weight:400;&quot;&gt;&lt;br style=&quot;box-sizing:border-box;&quot;&gt; &lt;/div&gt;&lt;div style=&quot;box-sizing:border-box;&quot;&gt;&lt;div style=&quot;font-weight:400;box-sizing:border-box;&quot;&gt; &lt;/div&gt;&lt;div style=&quot;box-sizing:border-box;&quot;&gt;&lt;b style=&quot;box-sizing:border-box;&quot;&gt;Expected Result:&lt;br style=&quot;box-sizing:border-box;&quot;&gt;&lt;/b&gt;&lt;div style=&quot;font-weight:400;box-sizing:border-box;&quot;&gt;&lt;div style=&quot;box-sizing:border-box;&quot;&gt;&lt;span style=&quot;display:inline !important;&quot;&gt;Navigation and search landmarks/regions should be defined on the page.&lt;/span&gt; &lt;/div&gt; &lt;/div&gt;&lt;div style=&quot;box-sizing:border-box;&quot;&gt;&lt;div style=&quot;box-sizing:border-box;&quot;&gt;&lt;b&gt;Ensure that, &lt;/b&gt;Navigation&amp;nbsp;landmark/region should be defined for all the controls present in left side navigation panel of the page.&lt;br style=&quot;box-sizing:border-box;&quot;&gt; &lt;/div&gt;&lt;div style=&quot;box-sizing:border-box;&quot;&gt;&lt;span style=&quot;box-sizing:border-box;display:inline !important;&quot;&gt;Search landmark should be implemented for 'Search' edit field in the page.&lt;/span&gt; &lt;/div&gt;&lt;div style=&quot;box-sizing:border-box;&quot;&gt;&lt;span style=&quot;box-sizing:border-box;display:inline !important;&quot;&gt;&lt;br&gt;&lt;/span&gt; &lt;/div&gt; &lt;/div&gt; &lt;/div&gt; &lt;/div&gt;&lt;div style=&quot;box-sizing:border-box;font-weight:400;&quot;&gt;&lt;div style=&quot;box-sizing:border-box;&quot;&gt;&lt;div style=&quot;box-sizing:border-box;&quot;&gt;&lt;div style=&quot;box-sizing:border-box;&quot;&gt;&lt;span style=&quot;box-sizing:border-box;font-weight:bold;&quot;&gt;&lt;div style=&quot;box-sizing:border-box;font-weight:400;&quot;&gt;&lt;div style=&quot;box-sizing:border-box;&quot;&gt;&lt;b style=&quot;box-sizing:border-box;&quot;&gt;MAS Reference Link:&lt;/b&gt; &lt;/div&gt;&lt;div style=&quot;box-sizing:border-box;&quot;&gt;&lt;a href=&quot;https://microsoft.sharepoint.com/teams/msenable/_layouts/15/WopiFrame.aspx?sourcedoc=%7b54f28d1f-a2d1-4dcd-84e1-5c9b87e8aba4%7d&quot; style=&quot;box-sizing:border-box;text-decoration:underline;cursor:pointer;&quot;&gt;MAS 1.3.1 - Info and Relationships&lt;/a&gt; &lt;/div&gt;&lt;div style=&quot;box-sizing:border-box;&quot;&gt;&amp;nbsp; &lt;/div&gt;&lt;div style=&quot;box-sizing:border-box;&quot;&gt;&lt;b style=&quot;box-sizing:border-box;&quot;&gt;WCAG Reference Link:&lt;/b&gt; &lt;/div&gt;&lt;div style=&quot;box-sizing:border-box;&quot;&gt;&lt;a href=&quot;https://www.w3.org/WAI/WCAG21/Understanding/info-and-relationships.html&quot; style=&quot;box-sizing:border-box;text-decoration:underline;cursor:pointer;&quot;&gt;https://www.w3.org/WAI/WCAG21/Understanding/info-and-relationships.html&lt;/a&gt; &lt;/div&gt; &lt;/div&gt;&lt;/span&gt; &lt;/div&gt; &lt;/div&gt; &lt;/div&gt; &lt;/div&gt;"/>
    <s v="Si"/>
    <x v="0"/>
    <s v="Enrique Monsalve "/>
  </r>
  <r>
    <n v="1517961"/>
    <s v="Bug"/>
    <s v="[Screen Readers - OLP Power Apps - Content page]: Screen reader not narrating correct state information for filter control, while navigating using browse mode"/>
    <s v="New"/>
    <s v="Enrique Monsalve &lt;v-monsalvee@microsoft.com&gt;"/>
    <s v="Si"/>
    <s v="William"/>
    <s v="Completado"/>
    <s v="A11y-1STPARTY; A11yMAS; A11yMASP3; CommonScreenReaders; HCL; HCL_OLP - MayJune FY22 New Update; MAS 1.3.1; NewBaselineAssessment; RecID_8303"/>
    <s v="Arreglar para sort y filter en ambas vistas y en Brwose y Content screen."/>
    <x v="0"/>
    <s v="&lt;div style=&quot;box-sizing:border-box;&quot;&gt;&lt;b&gt;&lt;/b&gt; &lt;/div&gt;&lt;div style=&quot;box-sizing:border-box;&quot;&gt;&lt;span style=&quot;box-sizing:border-box;&quot;&gt;&lt;p style=&quot;font-weight:400;margin:0in;&quot;&gt;&lt;span style=&quot;font-weight:bold;color:black;&quot;&gt;Note:&lt;/span&gt;&lt;b&gt;&amp;nbsp;&lt;/b&gt;Same issue is observed_x000a_throughout the application for similar type of controls. &lt;/p&gt;&lt;br&gt;&lt;/span&gt; &lt;/div&gt;&lt;div style=&quot;box-sizing:border-box;font-weight:400;&quot;&gt;&lt;b style=&quot;box-sizing:border-box;&quot;&gt;PWD Impact: -&lt;/b&gt;&lt;br style=&quot;box-sizing:border-box;&quot;&gt; &lt;/div&gt;&lt;div style=&quot;box-sizing:border-box;font-weight:400;&quot;&gt;&lt;span style=&quot;box-sizing:border-box;display:inline !important;&quot;&gt;&lt;span style=&quot;box-sizing:border-box;font-family:&amp;quot;Segoe UI&amp;quot;, sans-serif;display:inline !important;&quot;&gt;&lt;span style=&quot;box-sizing:border-box;display:inline !important;&quot;&gt;&lt;span style=&quot;display:inline !important;&quot;&gt;&lt;span style=&quot;display:inline !important;&quot;&gt;&lt;span style=&quot;display:inline !important;&quot;&gt;&lt;span style=&quot;display:inline !important;&quot;&gt;&lt;span style=&quot;box-sizing:border-box;&quot;&gt;Screen readers users are getting confused if&amp;nbsp;&lt;/span&gt;&lt;span style=&quot;box-sizing:border-box;&quot;&gt;Screen reader not narrating correct state information for filter control&amp;nbsp;&lt;span style=&quot;box-sizing:border-box;font-family:&amp;quot;Segoe UI&amp;quot;, sans-serif;display:inline !important;&quot;&gt;Users will not be able to get proper information on these controls and will left unaware about the visual information.&lt;/span&gt;&lt;/span&gt;&lt;/span&gt;&lt;/span&gt;&lt;/span&gt;&lt;/span&gt;&lt;/span&gt;&lt;/span&gt;&lt;/span&gt; &lt;/div&gt;&lt;div style=&quot;box-sizing:border-box;font-weight:400;&quot;&gt;&lt;br style=&quot;box-sizing:border-box;&quot;&gt; &lt;/div&gt;&lt;div style=&quot;box-sizing:border-box;font-weight:400;&quot;&gt;&lt;div style=&quot;box-sizing:border-box;&quot;&gt; &lt;/div&gt;&lt;div style=&quot;box-sizing:border-box;&quot;&gt;&lt;b style=&quot;box-sizing:border-box;font-family:&amp;quot;Segoe UI&amp;quot;, sans-serif;&quot;&gt;Test Environment:&lt;/b&gt;&lt;br style=&quot;box-sizing:border-box;&quot;&gt; &lt;/div&gt;&lt;div style=&quot;box-sizing:border-box;&quot;&gt; &lt;/div&gt; &lt;/div&gt;&lt;div style=&quot;box-sizing:border-box;font-weight:400;&quot;&gt; &lt;/div&gt;&lt;div style=&quot;box-sizing:border-box;font-weight:400;&quot;&gt; &lt;/div&gt;&lt;div style=&quot;box-sizing:border-box;font-weight:400;&quot;&gt; &lt;/div&gt;&lt;div style=&quot;box-sizing:border-box;font-weight:400;&quot;&gt; &lt;/div&gt;&lt;p style=&quot;box-sizing:border-box;font-weight:400;margin:0in;&quot;&gt; &lt;/p&gt;&lt;span style=&quot;box-sizing:border-box;font-weight:400;&quot;&gt;&lt;/span&gt;&lt;span style=&quot;box-sizing:border-box;font-weight:400;&quot;&gt;&lt;/span&gt;&lt;span style=&quot;box-sizing:border-box;font-weight:400;&quot;&gt;OS: Windows 11 [Version 21H2 (OS Build 22000.675)]&lt;br style=&quot;box-sizing:border-box;&quot;&gt;&lt;/span&gt;&lt;div style=&quot;box-sizing:border-box;font-weight:400;&quot;&gt;Browser: Edge Chromium (102.0.1245.30), Chrome (102.0.5005.63)&lt;br style=&quot;box-sizing:border-box;&quot;&gt; &lt;/div&gt;&lt;div style=&quot;box-sizing:border-box;font-weight:400;&quot;&gt;Screen readers: NVDA (2022.1), JAWS (2022.2204.20) &lt;/div&gt;&lt;div style=&quot;box-sizing:border-box;font-weight:400;&quot;&gt;&lt;span style=&quot;box-sizing:border-box;&quot;&gt;URL:&amp;nbsp;&lt;a href=&quot;https://apps.preview.powerapps.com/play/e/aa1775d6-89ae-47fb-b2cd-ebeb56163da6/a/347399e1-18ec-4002-aa22-c0285a367aaf?tenantId=72f988bf-86f1-41af-91ab-2d7cd011db47&quot;&gt;Onboarding App - Content - Power Apps&lt;/a&gt;&lt;/span&gt;&lt;br style=&quot;box-sizing:border-box;&quot;&gt; &lt;/div&gt;&lt;span style=&quot;box-sizing:border-box;font-weight:400;&quot;&gt;&lt;/span&gt;&lt;div style=&quot;box-sizing:border-box;font-weight:400;&quot;&gt; &lt;/div&gt;&lt;div style=&quot;box-sizing:border-box;font-weight:400;&quot;&gt; &lt;/div&gt;&lt;div style=&quot;box-sizing:border-box;font-weight:400;&quot;&gt;&lt;br style=&quot;box-sizing:border-box;&quot;&gt; &lt;/div&gt;&lt;div style=&quot;box-sizing:border-box;font-weight:400;&quot;&gt;&lt;span style=&quot;box-sizing:border-box;&quot;&gt;&lt;b style=&quot;box-sizing:border-box;&quot;&gt;Prerequisite:&lt;/b&gt;&lt;/span&gt; &lt;/div&gt;&lt;div style=&quot;box-sizing:border-box;font-weight:400;&quot;&gt;&lt;span style=&quot;box-sizing:border-box;&quot;&gt;Turn on NVDA/JAWS. Enable browse mode using 'insert+space'/'insert+Z' key.&lt;/span&gt;&lt;span style=&quot;box-sizing:border-box;&quot;&gt;&lt;b style=&quot;box-sizing:border-box;&quot;&gt;&lt;br style=&quot;box-sizing:border-box;&quot;&gt;&lt;/b&gt;&lt;/span&gt; &lt;/div&gt;&lt;div style=&quot;box-sizing:border-box;font-weight:400;&quot;&gt;&lt;span style=&quot;box-sizing:border-box;&quot;&gt;&lt;br style=&quot;box-sizing:border-box;&quot;&gt;&lt;/span&gt; &lt;/div&gt;&lt;div style=&quot;box-sizing:border-box;font-weight:400;&quot;&gt;&lt;p style=&quot;box-sizing:border-box;margin:0in;&quot;&gt;&lt;b style=&quot;box-sizing:border-box;&quot;&gt;Repro Steps:&lt;/b&gt;&lt;br style=&quot;box-sizing:border-box;&quot;&gt; &lt;/p&gt; &lt;/div&gt;&lt;div style=&quot;box-sizing:border-box;font-weight:400;&quot;&gt;&lt;div style=&quot;box-sizing:border-box;&quot;&gt;&lt;div style=&quot;box-sizing:border-box;&quot;&gt;&lt;div style=&quot;box-sizing:border-box;&quot;&gt;&lt;span style=&quot;box-sizing:border-box;&quot;&gt;&lt;div style=&quot;box-sizing:border-box;&quot;&gt; &lt;/div&gt;&lt;div style=&quot;box-sizing:border-box;&quot;&gt; &lt;/div&gt;&lt;div style=&quot;box-sizing:border-box;&quot;&gt; &lt;/div&gt;&lt;div style=&quot;box-sizing:border-box;&quot;&gt;Step 1:&lt;span style=&quot;box-sizing:border-box;&quot;&gt;&amp;nbsp;&lt;/span&gt;&lt;span style=&quot;box-sizing:border-box;color:rgb(36, 36, 36);font-family:-apple-system, BlinkMacSystemFont, &amp;quot;Segoe UI&amp;quot;, &amp;quot;Apple Color Emoji&amp;quot;, &amp;quot;Segoe UI Emoji&amp;quot;, &amp;quot;Segoe UI Web&amp;quot;, sans-serif;display:inline !important;&quot;&gt;Open the above URL in Edge Chromium Browser or chrome browser.&lt;/span&gt;&lt;span style=&quot;box-sizing:border-box;display:inline !important;&quot;&gt;&lt;/span&gt; &lt;/div&gt;&lt;/span&gt; &lt;/div&gt; &lt;/div&gt; &lt;/div&gt; &lt;/div&gt;&lt;div&gt;Step 2: 'Onboarding App - Content - Power Apps' page will appear.&amp;nbsp; &lt;/div&gt;&lt;div style=&quot;box-sizing:border-box;font-weight:400;&quot;&gt;&lt;div style=&quot;box-sizing:border-box;&quot;&gt;&lt;div style=&quot;box-sizing:border-box;&quot;&gt;&lt;div style=&quot;box-sizing:border-box;&quot;&gt;&lt;span style=&quot;box-sizing:border-box;&quot;&gt;&lt;div style=&quot;box-sizing:border-box;&quot;&gt;Step 3: &lt;span style=&quot;display:inline !important;&quot;&gt;Navigate to the ‘Filter' control in the page.&lt;/span&gt; &lt;/div&gt;&lt;div style=&quot;box-sizing:border-box;&quot;&gt;&lt;span style=&quot;box-sizing:border-box;&quot;&gt;&lt;span style=&quot;box-sizing:border-box;&quot;&gt;Step 4:&lt;span style=&quot;box-sizing:border-box;&quot;&gt;&amp;nbsp;&lt;/span&gt;&lt;/span&gt;&lt;span style=&quot;display:inline !important;&quot;&gt;Verify whether Screen reader not narrating correct state information for filter control, while navigating using browse mode&amp;nbsp;or&lt;/span&gt;&amp;nbsp;not.&lt;br style=&quot;box-sizing:border-box;&quot;&gt;&lt;/span&gt; &lt;/div&gt;&lt;div style=&quot;box-sizing:border-box;&quot;&gt;&lt;span style=&quot;box-sizing:border-box;&quot;&gt;&lt;/span&gt; &lt;/div&gt;&lt;div style=&quot;box-sizing:border-box;&quot;&gt;&lt;span style=&quot;box-sizing:border-box;&quot;&gt;&lt;/span&gt; &lt;/div&gt;&lt;div style=&quot;box-sizing:border-box;&quot;&gt;&lt;span style=&quot;box-sizing:border-box;&quot;&gt;&lt;span style=&quot;box-sizing:border-box;font-family:Calibri, sans-serif;font-size:14.6667px;display:inline !important;&quot;&gt;&lt;span style=&quot;box-sizing:border-box;font-size:14px;display:inline !important;&quot;&gt;&lt;br style=&quot;box-sizing:border-box;&quot;&gt;&lt;/span&gt;&lt;/span&gt;&lt;/span&gt; &lt;/div&gt;&lt;/span&gt; &lt;/div&gt; &lt;/div&gt; &lt;/div&gt; &lt;/div&gt;&lt;div style=&quot;box-sizing:border-box;font-weight:400;&quot;&gt;&lt;div style=&quot;box-sizing:border-box;&quot;&gt;&lt;div style=&quot;box-sizing:border-box;&quot;&gt;&lt;b style=&quot;box-sizing:border-box;&quot;&gt;&lt;/b&gt; &lt;/div&gt; &lt;/div&gt; &lt;/div&gt;&lt;div style=&quot;box-sizing:border-box;font-weight:400;&quot;&gt;&lt;div style=&quot;box-sizing:border-box;&quot;&gt;&lt;div style=&quot;box-sizing:border-box;&quot;&gt;&lt;b style=&quot;box-sizing:border-box;&quot;&gt;Actual Result:&lt;/b&gt;&lt;br style=&quot;box-sizing:border-box;&quot;&gt; &lt;/div&gt; &lt;/div&gt; &lt;/div&gt;&lt;div style=&quot;box-sizing:border-box;font-weight:400;&quot;&gt; &lt;/div&gt;&lt;div style=&quot;box-sizing:border-box;font-weight:400;&quot;&gt;&lt;b style=&quot;box-sizing:border-box;&quot;&gt;&lt;span style=&quot;box-sizing:border-box;display:inline !important;&quot;&gt;&lt;/span&gt;&lt;/b&gt; &lt;/div&gt;&lt;div style=&quot;box-sizing:border-box;font-weight:400;&quot;&gt; &lt;/div&gt;&lt;div style=&quot;box-sizing:border-box;&quot;&gt;&lt;div style=&quot;font-weight:400;box-sizing:border-box;&quot;&gt; &lt;/div&gt; &lt;/div&gt;&lt;div style=&quot;box-sizing:border-box;&quot;&gt;Screen reader not narrating correct state information for 'Filter' control, while navigating using browse mode &lt;/div&gt;&lt;div style=&quot;box-sizing:border-box;&quot;&gt;&lt;b style=&quot;box-sizing:border-box;&quot;&gt;Observation:&lt;/b&gt;&lt;span&gt;&amp;nbsp;After invoking &lt;span style=&quot;display:inline !important;&quot;&gt;filters pane&amp;nbsp;&lt;/span&gt;screen reader narrating as '&lt;/span&gt;&lt;span style=&quot;&quot;&gt;button&lt;/span&gt;&lt;span style=&quot;&quot;&gt;&amp;nbsp;&lt;/span&gt;&lt;span style=&quot;&quot;&gt;Expand or collapse filters pane'.&lt;/span&gt; &lt;/div&gt;&lt;div style=&quot;box-sizing:border-box;font-weight:400;&quot;&gt;&lt;br style=&quot;box-sizing:border-box;&quot;&gt; &lt;/div&gt;&lt;div style=&quot;box-sizing:border-box;&quot;&gt;&lt;div style=&quot;font-weight:400;box-sizing:border-box;&quot;&gt; &lt;/div&gt;&lt;div style=&quot;box-sizing:border-box;&quot;&gt;&lt;b style=&quot;box-sizing:border-box;&quot;&gt;Expected Result:&lt;br style=&quot;box-sizing:border-box;&quot;&gt;&lt;/b&gt;&lt;div style=&quot;font-weight:400;box-sizing:border-box;&quot;&gt;&lt;div style=&quot;box-sizing:border-box;&quot;&gt;&lt;span style=&quot;display:inline !important;&quot;&gt;&lt;span style=&quot;display:inline !important;&quot;&gt;&lt;span style=&quot;font-family:&amp;quot;Segoe UI&amp;quot;, system-ui, &amp;quot;Apple Color Emoji&amp;quot;, &amp;quot;Segoe UI Emoji&amp;quot;, sans-serif;display:inline !important;&quot;&gt;Screen reader &lt;span style=&quot;display:inline !important;&quot;&gt;should not announce&lt;/span&gt; irrelevant information for progress bar, while navigating using browse mode&amp;nbsp;&lt;/span&gt;&lt;/span&gt;&lt;/span&gt; &lt;/div&gt; &lt;/div&gt; &lt;/div&gt; &lt;/div&gt;&lt;div&gt;Ex: After invoking&amp;nbsp;filters pane&amp;nbsp;screen reader announces as 'button&amp;nbsp;Expand filters pane', button&amp;nbsp;collapse filters pane'. &lt;/div&gt;&lt;div style=&quot;box-sizing:border-box;&quot;&gt;&lt;div style=&quot;box-sizing:border-box;&quot;&gt;&lt;div style=&quot;box-sizing:border-box;&quot;&gt;&lt;div style=&quot;box-sizing:border-box;&quot;&gt;&lt;br&gt; &lt;/div&gt;&lt;div style=&quot;box-sizing:border-box;&quot;&gt; &lt;/div&gt; &lt;/div&gt; &lt;/div&gt; &lt;/div&gt;&lt;div style=&quot;box-sizing:border-box;font-weight:400;&quot;&gt;&lt;div style=&quot;box-sizing:border-box;&quot;&gt;&lt;div style=&quot;box-sizing:border-box;&quot;&gt;&lt;div style=&quot;box-sizing:border-box;&quot;&gt;&lt;span style=&quot;box-sizing:border-box;font-weight:bold;&quot;&gt;&lt;div style=&quot;box-sizing:border-box;font-weight:400;&quot;&gt;&lt;div style=&quot;box-sizing:border-box;&quot;&gt;&lt;b style=&quot;box-sizing:border-box;&quot;&gt;MAS Reference Link:&lt;/b&gt; &lt;/div&gt; &lt;/div&gt;&lt;/span&gt; &lt;/div&gt; &lt;/div&gt; &lt;/div&gt; &lt;/div&gt;&lt;div&gt;&lt;div&gt;&lt;div style=&quot;box-sizing:border-box;&quot;&gt;&lt;a href=&quot;https://microsoft.sharepoint.com/teams/msenable/_layouts/15/WopiFrame.aspx?sourcedoc=%7b54f28d1f-a2d1-4dcd-84e1-5c9b87e8aba4%7d&quot; style=&quot;box-sizing:border-box;text-decoration:underline;&quot;&gt;MAS 1.3.1 - Info and Relationships&lt;/a&gt; &lt;/div&gt;&lt;div style=&quot;box-sizing:border-box;&quot;&gt;&lt;br style=&quot;box-sizing:border-box;&quot;&gt; &lt;/div&gt;&lt;div style=&quot;box-sizing:border-box;&quot;&gt;&lt;b style=&quot;box-sizing:border-box;&quot;&gt;WCAG Reference Link:&lt;/b&gt; &lt;/div&gt;&lt;div style=&quot;box-sizing:border-box;&quot;&gt;&lt;a href=&quot;https://www.w3.org/WAI/WCAG21/Understanding/info-and-relationships.html&quot; style=&quot;box-sizing:border-box;text-decoration:underline;&quot;&gt;https://www.w3.org/WAI/WCAG21/Understanding/info-and-relationships.html&lt;/a&gt; &lt;/div&gt; &lt;/div&gt; &lt;/div&gt;&lt;div style=&quot;box-sizing:border-box;font-weight:400;&quot;&gt;&lt;div style=&quot;box-sizing:border-box;&quot;&gt;&lt;div style=&quot;box-sizing:border-box;&quot;&gt;&lt;div style=&quot;box-sizing:border-box;&quot;&gt; &lt;/div&gt; &lt;/div&gt; &lt;/div&gt; &lt;/div&gt;"/>
    <s v="No"/>
    <x v="1"/>
    <s v="Priyanka Mangla "/>
  </r>
  <r>
    <n v="1517966"/>
    <s v="Bug"/>
    <s v="[Screen Readers - OLP Power Apps - Content page]: Screen readers are narrating unnecessary role for plain text."/>
    <s v="New"/>
    <s v="Enrique Monsalve &lt;v-monsalvee@microsoft.com&gt;"/>
    <s v="Si"/>
    <m/>
    <s v="Completado"/>
    <s v="A11y-1STPARTY; A11yMAS; A11yMASP3; CommonScreenReaders; HCL; HCL_OLP - MayJune FY22 New Update; MAS 1.3.1; NewBaselineAssessment; RecID_8303"/>
    <s v="Puede que nos molesten porque el screen reader lee &quot;greater than&quot; (&gt;)"/>
    <x v="0"/>
    <s v="&lt;div style=&quot;box-sizing:border-box;&quot;&gt;&lt;b&gt;&lt;/b&gt; &lt;/div&gt;&lt;div style=&quot;box-sizing:border-box;&quot;&gt;&lt;span style=&quot;box-sizing:border-box;&quot;&gt;&lt;p style=&quot;font-weight:400;margin:0in;&quot;&gt;&lt;b&gt;PWD Impact: -&lt;/b&gt;&lt;br&gt; &lt;/p&gt;&lt;/span&gt; &lt;/div&gt;&lt;div style=&quot;box-sizing:border-box;font-weight:400;&quot;&gt;&lt;span style=&quot;box-sizing:border-box;display:inline !important;&quot;&gt;&lt;span style=&quot;box-sizing:border-box;font-family:&amp;quot;Segoe UI&amp;quot;, sans-serif;display:inline !important;&quot;&gt;&lt;span style=&quot;box-sizing:border-box;display:inline !important;&quot;&gt;&lt;span style=&quot;display:inline !important;&quot;&gt;&lt;span style=&quot;display:inline !important;&quot;&gt;&lt;span style=&quot;display:inline !important;&quot;&gt;&lt;span style=&quot;display:inline !important;&quot;&gt;&lt;span style=&quot;display:inline !important;&quot;&gt;Screen Reader users will be impacted if Screen readers do not narrate selected state and on home control while navigating using shortcut key 'B'. Due to this behavior, it might lead to disorientation and here, screen reader users might get confused.&lt;/span&gt;&lt;/span&gt;&lt;/span&gt;&lt;/span&gt;&lt;/span&gt;&lt;/span&gt;&lt;/span&gt;&lt;/span&gt; &lt;/div&gt;&lt;div style=&quot;box-sizing:border-box;font-weight:400;&quot;&gt;&lt;br style=&quot;box-sizing:border-box;&quot;&gt; &lt;/div&gt;&lt;div style=&quot;box-sizing:border-box;font-weight:400;&quot;&gt;&lt;div style=&quot;box-sizing:border-box;&quot;&gt; &lt;/div&gt;&lt;div style=&quot;box-sizing:border-box;&quot;&gt;&lt;b style=&quot;box-sizing:border-box;font-family:&amp;quot;Segoe UI&amp;quot;, sans-serif;&quot;&gt;Test Environment:&lt;/b&gt;&lt;br style=&quot;box-sizing:border-box;&quot;&gt; &lt;/div&gt;&lt;div style=&quot;box-sizing:border-box;&quot;&gt; &lt;/div&gt; &lt;/div&gt;&lt;div style=&quot;box-sizing:border-box;font-weight:400;&quot;&gt; &lt;/div&gt;&lt;div style=&quot;box-sizing:border-box;font-weight:400;&quot;&gt; &lt;/div&gt;&lt;div style=&quot;box-sizing:border-box;font-weight:400;&quot;&gt; &lt;/div&gt;&lt;div style=&quot;box-sizing:border-box;font-weight:400;&quot;&gt; &lt;/div&gt;&lt;p style=&quot;box-sizing:border-box;font-weight:400;margin:0in;&quot;&gt; &lt;/p&gt;&lt;span style=&quot;box-sizing:border-box;font-weight:400;&quot;&gt;&lt;/span&gt;&lt;span style=&quot;box-sizing:border-box;font-weight:400;&quot;&gt;&lt;/span&gt;&lt;span style=&quot;box-sizing:border-box;font-weight:400;&quot;&gt;OS: Windows 11 [Version 21H2 (OS Build 22000.675)]&lt;br style=&quot;box-sizing:border-box;&quot;&gt;&lt;/span&gt;&lt;div style=&quot;box-sizing:border-box;font-weight:400;&quot;&gt;Browser: Edge Chromium (102.0.1245.30), Chrome (102.0.5005.63)&lt;br style=&quot;box-sizing:border-box;&quot;&gt; &lt;/div&gt;&lt;div style=&quot;box-sizing:border-box;font-weight:400;&quot;&gt;Screen readers: NVDA (2022.1), JAWS (2022.2204.20) &lt;/div&gt;&lt;div style=&quot;box-sizing:border-box;font-weight:400;&quot;&gt;&lt;span style=&quot;box-sizing:border-box;&quot;&gt;URL:&amp;nbsp;&lt;a href=&quot;https://apps.preview.powerapps.com/play/e/aa1775d6-89ae-47fb-b2cd-ebeb56163da6/a/347399e1-18ec-4002-aa22-c0285a367aaf?tenantId=72f988bf-86f1-41af-91ab-2d7cd011db47&quot;&gt;Onboarding App - Content - Power Apps&lt;/a&gt;&lt;/span&gt;&lt;br style=&quot;box-sizing:border-box;&quot;&gt; &lt;/div&gt;&lt;span style=&quot;box-sizing:border-box;font-weight:400;&quot;&gt;&lt;/span&gt;&lt;div style=&quot;box-sizing:border-box;font-weight:400;&quot;&gt; &lt;/div&gt;&lt;div style=&quot;box-sizing:border-box;font-weight:400;&quot;&gt; &lt;/div&gt;&lt;div style=&quot;box-sizing:border-box;font-weight:400;&quot;&gt;&lt;br style=&quot;box-sizing:border-box;&quot;&gt; &lt;/div&gt;&lt;div style=&quot;box-sizing:border-box;font-weight:400;&quot;&gt;&lt;span style=&quot;box-sizing:border-box;&quot;&gt;&lt;b style=&quot;box-sizing:border-box;&quot;&gt;Prerequisite:&lt;/b&gt;&lt;/span&gt; &lt;/div&gt;&lt;div style=&quot;box-sizing:border-box;font-weight:400;&quot;&gt;&lt;span style=&quot;box-sizing:border-box;&quot;&gt;Turn on NVDA/JAWS. Enable browse mode using 'insert+space'/'insert+Z' key.&lt;/span&gt;&lt;span style=&quot;box-sizing:border-box;&quot;&gt;&lt;b style=&quot;box-sizing:border-box;&quot;&gt;&lt;br style=&quot;box-sizing:border-box;&quot;&gt;&lt;/b&gt;&lt;/span&gt; &lt;/div&gt;&lt;div style=&quot;box-sizing:border-box;font-weight:400;&quot;&gt;&lt;span style=&quot;box-sizing:border-box;&quot;&gt;&lt;br style=&quot;box-sizing:border-box;&quot;&gt;&lt;/span&gt; &lt;/div&gt;&lt;div style=&quot;box-sizing:border-box;font-weight:400;&quot;&gt;&lt;p style=&quot;box-sizing:border-box;margin:0in;&quot;&gt;&lt;b style=&quot;box-sizing:border-box;&quot;&gt;Repro Steps:&lt;/b&gt;&lt;br style=&quot;box-sizing:border-box;&quot;&gt; &lt;/p&gt; &lt;/div&gt;&lt;div style=&quot;box-sizing:border-box;font-weight:400;&quot;&gt;&lt;div style=&quot;box-sizing:border-box;&quot;&gt;&lt;div style=&quot;box-sizing:border-box;&quot;&gt;&lt;div style=&quot;box-sizing:border-box;&quot;&gt;&lt;span style=&quot;box-sizing:border-box;&quot;&gt;&lt;div style=&quot;box-sizing:border-box;&quot;&gt; &lt;/div&gt;&lt;div style=&quot;box-sizing:border-box;&quot;&gt; &lt;/div&gt;&lt;div style=&quot;box-sizing:border-box;&quot;&gt; &lt;/div&gt;&lt;div style=&quot;box-sizing:border-box;&quot;&gt;Step 1:&lt;span style=&quot;box-sizing:border-box;&quot;&gt;&amp;nbsp;&lt;/span&gt;&lt;span style=&quot;box-sizing:border-box;color:rgb(36, 36, 36);font-family:-apple-system, BlinkMacSystemFont, &amp;quot;Segoe UI&amp;quot;, &amp;quot;Apple Color Emoji&amp;quot;, &amp;quot;Segoe UI Emoji&amp;quot;, &amp;quot;Segoe UI Web&amp;quot;, sans-serif;display:inline !important;&quot;&gt;Open the above URL in Edge Chromium Browser or chrome browser.&lt;/span&gt;&lt;span style=&quot;box-sizing:border-box;display:inline !important;&quot;&gt;&lt;/span&gt; &lt;/div&gt;&lt;/span&gt; &lt;/div&gt; &lt;/div&gt; &lt;/div&gt; &lt;/div&gt;&lt;div&gt;Step 2: 'Onboarding App - Content - Power Apps' page will appear-&amp;gt;Navigate to 'Home' control and activate it. &lt;/div&gt;&lt;div style=&quot;box-sizing:border-box;font-weight:400;&quot;&gt;&lt;div style=&quot;box-sizing:border-box;&quot;&gt;&lt;div style=&quot;box-sizing:border-box;&quot;&gt;&lt;div style=&quot;box-sizing:border-box;&quot;&gt;&lt;span style=&quot;box-sizing:border-box;&quot;&gt;&lt;div style=&quot;box-sizing:border-box;&quot;&gt;&lt;span&gt;Step 3:&amp;nbsp;&lt;/span&gt;&lt;span&gt;Verify whether&amp;nbsp;Screen readers are narrating unnecessary role for plain text or not.&lt;/span&gt;&lt;br&gt; &lt;/div&gt;&lt;div style=&quot;box-sizing:border-box;&quot;&gt; &lt;/div&gt;&lt;div style=&quot;box-sizing:border-box;&quot;&gt;&lt;span style=&quot;box-sizing:border-box;&quot;&gt;&lt;/span&gt; &lt;/div&gt;&lt;div style=&quot;box-sizing:border-box;&quot;&gt;&lt;span style=&quot;box-sizing:border-box;&quot;&gt;&lt;/span&gt; &lt;/div&gt;&lt;div style=&quot;box-sizing:border-box;&quot;&gt;&lt;span style=&quot;box-sizing:border-box;&quot;&gt;&lt;span style=&quot;box-sizing:border-box;font-family:Calibri, sans-serif;font-size:14.6667px;display:inline !important;&quot;&gt;&lt;span style=&quot;box-sizing:border-box;font-size:14px;display:inline !important;&quot;&gt;&lt;br style=&quot;box-sizing:border-box;&quot;&gt;&lt;/span&gt;&lt;/span&gt;&lt;/span&gt; &lt;/div&gt;&lt;/span&gt; &lt;/div&gt; &lt;/div&gt; &lt;/div&gt; &lt;/div&gt;&lt;div style=&quot;box-sizing:border-box;font-weight:400;&quot;&gt;&lt;div style=&quot;box-sizing:border-box;&quot;&gt;&lt;div style=&quot;box-sizing:border-box;&quot;&gt;&lt;b style=&quot;box-sizing:border-box;&quot;&gt;&lt;/b&gt; &lt;/div&gt; &lt;/div&gt; &lt;/div&gt;&lt;div style=&quot;box-sizing:border-box;font-weight:400;&quot;&gt;&lt;div style=&quot;box-sizing:border-box;&quot;&gt;&lt;div style=&quot;box-sizing:border-box;&quot;&gt;&lt;b style=&quot;box-sizing:border-box;&quot;&gt;Actual Result:&lt;/b&gt;&lt;br style=&quot;box-sizing:border-box;&quot;&gt; &lt;/div&gt; &lt;/div&gt; &lt;/div&gt;&lt;div style=&quot;box-sizing:border-box;font-weight:400;&quot;&gt; &lt;/div&gt;&lt;div style=&quot;box-sizing:border-box;font-weight:400;&quot;&gt;&lt;b style=&quot;box-sizing:border-box;&quot;&gt;&lt;span style=&quot;box-sizing:border-box;display:inline !important;&quot;&gt;&lt;/span&gt;&lt;/b&gt; &lt;/div&gt;&lt;div style=&quot;box-sizing:border-box;font-weight:400;&quot;&gt; &lt;/div&gt;&lt;div style=&quot;box-sizing:border-box;&quot;&gt;&lt;div style=&quot;font-weight:400;box-sizing:border-box;&quot;&gt; &lt;/div&gt; &lt;/div&gt;&lt;div style=&quot;box-sizing:border-box;&quot;&gt;Screen readers are narrating unnecessary role for plain text.&lt;br&gt; &lt;/div&gt;&lt;div style=&quot;box-sizing:border-box;&quot;&gt;&lt;b style=&quot;box-sizing:border-box;&quot;&gt;Observation:&lt;/b&gt;&lt;span&gt;&amp;nbsp;Screen reader narrating as button&lt;span&gt;&amp;nbsp;unavailable CSA Role Basics&lt;br&gt;&lt;/span&gt;&lt;div&gt;&lt;span style=&quot;&quot;&gt;button unavailable &amp;gt; Technical Foundations.&lt;/span&gt;&lt;br&gt; &lt;/div&gt;&lt;span&gt;&lt;/span&gt;&lt;span&gt;&lt;/span&gt;&lt;/span&gt; &lt;/div&gt;&lt;div style=&quot;box-sizing:border-box;font-weight:400;&quot;&gt;&lt;br style=&quot;box-sizing:border-box;&quot;&gt; &lt;/div&gt;&lt;div style=&quot;box-sizing:border-box;&quot;&gt;&lt;div style=&quot;font-weight:400;box-sizing:border-box;&quot;&gt; &lt;/div&gt;&lt;div style=&quot;box-sizing:border-box;&quot;&gt;&lt;b style=&quot;box-sizing:border-box;&quot;&gt;Expected Result:&lt;br style=&quot;box-sizing:border-box;&quot;&gt;&lt;/b&gt;&lt;div style=&quot;font-weight:400;box-sizing:border-box;&quot;&gt;&lt;div style=&quot;box-sizing:border-box;&quot;&gt;Screen readers should not narrate role for plain text. &lt;/div&gt; &lt;/div&gt;&lt;div style=&quot;box-sizing:border-box;&quot;&gt;&lt;div style=&quot;box-sizing:border-box;&quot;&gt;&lt;b&gt;Ex: &lt;/b&gt;Screen reader should announce as&lt;b&gt;&amp;nbsp;&lt;/b&gt;&lt;span style=&quot;font-weight:400;display:inline !important;&quot;&gt;CSA Role Basics for one down arrow.&lt;/span&gt;&lt;span style=&quot;box-sizing:border-box;&quot;&gt;&lt;br&gt;For second down arrow&lt;/span&gt;&lt;b style=&quot;font-weight:bold;box-sizing:border-box;&quot;&gt;&amp;nbsp;&lt;span style=&quot;font-weight:400;display:inline !important;&quot;&gt;Technical Foundations.&lt;/span&gt;&lt;/b&gt; &lt;/div&gt;&lt;div style=&quot;box-sizing:border-box;&quot;&gt;&lt;br&gt; &lt;/div&gt;&lt;div style=&quot;box-sizing:border-box;&quot;&gt; &lt;/div&gt; &lt;/div&gt; &lt;/div&gt; &lt;/div&gt;&lt;div style=&quot;box-sizing:border-box;font-weight:400;&quot;&gt;&lt;div style=&quot;box-sizing:border-box;&quot;&gt;&lt;div style=&quot;box-sizing:border-box;&quot;&gt;&lt;div style=&quot;box-sizing:border-box;&quot;&gt;&lt;span style=&quot;box-sizing:border-box;font-weight:bold;&quot;&gt;&lt;div style=&quot;box-sizing:border-box;font-weight:400;&quot;&gt;&lt;div style=&quot;box-sizing:border-box;&quot;&gt;&lt;b style=&quot;box-sizing:border-box;&quot;&gt;&lt;/b&gt; &lt;/div&gt; &lt;/div&gt;&lt;/span&gt; &lt;/div&gt; &lt;/div&gt; &lt;/div&gt; &lt;/div&gt;&lt;div style=&quot;box-sizing:border-box;font-weight:400;&quot;&gt;&lt;b style=&quot;box-sizing:border-box;&quot;&gt;&lt;/b&gt; &lt;/div&gt;&lt;div style=&quot;box-sizing:border-box;font-weight:400;&quot;&gt;&lt;div style=&quot;box-sizing:border-box;&quot;&gt;&lt;div style=&quot;box-sizing:border-box;&quot;&gt;&lt;div style=&quot;box-sizing:border-box;&quot;&gt;&lt;span style=&quot;box-sizing:border-box;font-weight:bold;&quot;&gt;&lt;div style=&quot;box-sizing:border-box;font-weight:400;&quot;&gt;&lt;div style=&quot;box-sizing:border-box;&quot;&gt;&lt;b style=&quot;box-sizing:border-box;&quot;&gt;MAS Reference Link:&lt;/b&gt; &lt;/div&gt; &lt;/div&gt;&lt;/span&gt; &lt;/div&gt; &lt;/div&gt; &lt;/div&gt; &lt;/div&gt;&lt;div style=&quot;box-sizing:border-box;font-weight:400;&quot;&gt;&lt;div style=&quot;box-sizing:border-box;&quot;&gt;&lt;div style=&quot;box-sizing:border-box;&quot;&gt;&lt;a href=&quot;https://microsoft.sharepoint.com/teams/msenable/_layouts/15/WopiFrame.aspx?sourcedoc=%7b54f28d1f-a2d1-4dcd-84e1-5c9b87e8aba4%7d&quot; style=&quot;box-sizing:border-box;text-decoration:underline;cursor:pointer;&quot;&gt;MAS 1.3.1 - Info and Relationships&lt;/a&gt; &lt;/div&gt;&lt;div style=&quot;box-sizing:border-box;&quot;&gt;&lt;br style=&quot;box-sizing:border-box;&quot;&gt; &lt;/div&gt;&lt;div style=&quot;box-sizing:border-box;&quot;&gt;&lt;b style=&quot;box-sizing:border-box;&quot;&gt;WCAG Reference Link:&lt;/b&gt; &lt;/div&gt;&lt;div style=&quot;box-sizing:border-box;&quot;&gt;&lt;a href=&quot;https://www.w3.org/WAI/WCAG21/Understanding/info-and-relationships.html&quot; style=&quot;box-sizing:border-box;text-decoration:underline;cursor:pointer;&quot;&gt;https://www.w3.org/WAI/WCAG21/Understanding/info-and-relationships.html&lt;/a&gt; &lt;/div&gt; &lt;/div&gt; &lt;/div&gt;&lt;div style=&quot;box-sizing:border-box;font-weight:400;&quot;&gt;&lt;a href=&quot;https://www.w3.org/WAI/WCAG21/Understanding/name-role-value.html&quot; style=&quot;box-sizing:border-box;text-decoration:underline;cursor:pointer;&quot;&gt;&lt;/a&gt; &lt;/div&gt;&lt;div&gt;&lt;div&gt;&lt;div style=&quot;box-sizing:border-box;&quot;&gt;&lt;a href=&quot;https://www.w3.org/WAI/WCAG21/Understanding/info-and-relationships.html&quot; style=&quot;box-sizing:border-box;text-decoration:underline;&quot;&gt;&lt;/a&gt; &lt;/div&gt; &lt;/div&gt; &lt;/div&gt;&lt;div style=&quot;box-sizing:border-box;font-weight:400;&quot;&gt;&lt;div style=&quot;box-sizing:border-box;&quot;&gt;&lt;div style=&quot;box-sizing:border-box;&quot;&gt;&lt;div style=&quot;box-sizing:border-box;&quot;&gt; &lt;/div&gt; &lt;/div&gt; &lt;/div&gt; &lt;/div&gt;"/>
    <s v="No"/>
    <x v="1"/>
    <s v="Priyanka Mangla "/>
  </r>
  <r>
    <n v="1517968"/>
    <s v="Bug"/>
    <s v="[Keyboard Navigation - OLP Power Apps - Content page]: Visual focus indicator is not clearly visible on 'cancel' button while navigating using keyboard Tab key."/>
    <s v="New"/>
    <s v="Enrique Monsalve &lt;v-monsalvee@microsoft.com&gt;"/>
    <s v="Si"/>
    <s v="Mauricio"/>
    <s v="Completado"/>
    <s v="A11y-1STPARTY; A11yMAS; A11yMASP3; CommonBrowsers; HCL; HCL_OLP - MayJune FY22 New Update; MAS 2.4.7; NewBaselineAssessment; RecID_8303"/>
    <s v="Realizamos el ajuste pertinente sobre el cancel del search text, ya se visualiza por completo cuando se utiliza el tabulador"/>
    <x v="2"/>
    <s v="&lt;div style=&quot;box-sizing:border-box;&quot;&gt;&lt;b&gt;&lt;/b&gt; &lt;/div&gt;&lt;div&gt;&lt;b&gt;PWD Impact:&amp;nbsp;&lt;/b&gt;&lt;br style=&quot;box-sizing:border-box;&quot;&gt; &lt;/div&gt;&lt;div&gt; &lt;/div&gt;&lt;div&gt; &lt;/div&gt;&lt;div&gt;&lt;span style=&quot;display:inline !important;&quot;&gt;Users who rely on keyboard and low vision users are finding it difficult to track the tab focus as&amp;nbsp;Keyboard focus indicator is not clearly visible on 'cancel' button while navigating using keyboard Tab key.&lt;/span&gt;&lt;br&gt; &lt;/div&gt;&lt;div&gt; &lt;/div&gt;&lt;div&gt;&lt;br style=&quot;box-sizing:border-box;&quot;&gt; &lt;/div&gt;&lt;div&gt; &lt;/div&gt;&lt;div&gt; &lt;/div&gt;&lt;div&gt;&lt;b&gt;Test Environment:&lt;/b&gt;&lt;br style=&quot;box-sizing:border-box;&quot;&gt; &lt;/div&gt;&lt;div&gt; &lt;/div&gt;&lt;div&gt; &lt;/div&gt;&lt;div&gt; &lt;/div&gt;&lt;div&gt; &lt;/div&gt;&lt;div&gt; &lt;/div&gt;&lt;div&gt; &lt;/div&gt;&lt;div&gt; &lt;/div&gt;&lt;div&gt; &lt;/div&gt;&lt;div&gt;OS: Windows 11 [Version 21H2 (OS Build 22000.675)]&lt;br style=&quot;box-sizing:border-box;&quot;&gt; &lt;/div&gt;&lt;div&gt;Browser: Edge Chromium (102.0.1245.30), Chrome (102.0.5005.63) &lt;/div&gt;&lt;div&gt;URL:&amp;nbsp;&lt;a href=&quot;https://apps.preview.powerapps.com/play/e/aa1775d6-89ae-47fb-b2cd-ebeb56163da6/a/347399e1-18ec-4002-aa22-c0285a367aaf?tenantId=72f988bf-86f1-41af-91ab-2d7cd011db47&quot;&gt;Onboarding App - Content - Power Apps&lt;/a&gt;&lt;br style=&quot;box-sizing:border-box;&quot;&gt; &lt;/div&gt;&lt;div&gt; &lt;/div&gt;&lt;div&gt; &lt;/div&gt;&lt;div&gt; &lt;/div&gt;&lt;div&gt; &lt;/div&gt;&lt;div&gt;&lt;br&gt; &lt;/div&gt;&lt;div&gt; &lt;/div&gt;&lt;div&gt; &lt;/div&gt;&lt;div&gt;&lt;b&gt;Repro Steps:&lt;/b&gt;&lt;br style=&quot;box-sizing:border-box;&quot;&gt; &lt;/div&gt;&lt;div&gt; &lt;/div&gt;&lt;div&gt; &lt;/div&gt;&lt;div&gt;&lt;div&gt; &lt;/div&gt;&lt;div&gt; &lt;/div&gt;&lt;div&gt; &lt;/div&gt;&lt;div&gt;Step 1:&amp;nbsp;Open the above URL in Edge Chromium Browser or chrome browser. &lt;/div&gt; &lt;/div&gt;&lt;div&gt; &lt;/div&gt;&lt;div&gt; &lt;/div&gt;&lt;div&gt; &lt;/div&gt;&lt;div&gt; &lt;/div&gt;&lt;div&gt;Step 2: 'Onboarding App - Content Page - Power Apps' page will appear.&amp;nbsp; &lt;/div&gt;&lt;div&gt;Step 3: Navigate to the 'search by keywords' control. -&amp;gt; type 'Aasa' cancel button visible.&amp;nbsp; &lt;/div&gt;&lt;div&gt; &lt;/div&gt;&lt;div&gt;Step 4:&amp;nbsp;Verify whether&amp;nbsp;Visual  focus indicator clearly visible on 'cancel' button while navigating using keyboard Tab key or not. &lt;br&gt; &lt;/div&gt;&lt;div&gt;&lt;div&gt; &lt;/div&gt;&lt;div&gt; &lt;/div&gt;&lt;div&gt; &lt;/div&gt;&lt;div&gt;&lt;br style=&quot;box-sizing:border-box;&quot;&gt; &lt;/div&gt;&lt;div&gt; &lt;/div&gt; &lt;/div&gt;&lt;div&gt; &lt;/div&gt;&lt;div&gt; &lt;/div&gt;&lt;div&gt; &lt;/div&gt;&lt;div&gt; &lt;/div&gt;&lt;div&gt; &lt;/div&gt;&lt;div&gt; &lt;/div&gt;&lt;div&gt; &lt;/div&gt;&lt;div&gt;&lt;b&gt;Actual Result:&lt;/b&gt; &lt;/div&gt;&lt;div&gt;Visual  focus indicator is not clearly visible on 'cancel' button while navigating using keyboard Tab key.  &lt;br&gt; &lt;/div&gt;&lt;div&gt; &lt;/div&gt;&lt;div&gt; &lt;/div&gt;&lt;div&gt;&lt;b&gt;Observation:&lt;/b&gt; Keyboard focus indicator is 'top side', 'Bottom' side focus not visible. &lt;/div&gt;&lt;div&gt;&lt;br&gt; &lt;/div&gt;&lt;div&gt;&lt;b style=&quot;&quot;&gt;Expected Result:&lt;/b&gt; &lt;/div&gt;&lt;div&gt; &lt;/div&gt;&lt;div&gt; &lt;/div&gt;&lt;div&gt;&lt;span style=&quot;display:inline !important;&quot;&gt;&lt;/span&gt;&lt;span style=&quot;display:inline !important;&quot;&gt;Visual focus indicator should be clearly visible on&lt;/span&gt;&lt;span style=&quot;display:inline !important;&quot;&gt; 'cancel' button while navigating using keyboard Tab key.&lt;/span&gt;&lt;span style=&quot;display:inline !important;&quot;&gt;&lt;/span&gt;&lt;br&gt; &lt;/div&gt;&lt;div&gt;Ex:&amp;nbsp;Keyboard focus should be visible clearly on four sides without overlying on text.&lt;br&gt; &lt;/div&gt;&lt;div&gt;&lt;br&gt; &lt;/div&gt;&lt;div&gt; &lt;/div&gt;&lt;div&gt; &lt;/div&gt;&lt;div&gt; &lt;/div&gt;&lt;div&gt;&lt;div&gt; &lt;/div&gt;&lt;div&gt;&lt;b&gt;MAS Reference link:&lt;/b&gt;&lt;br style=&quot;box-sizing:border-box;&quot;&gt; &lt;/div&gt;&lt;div&gt;&lt;a href=&quot;https://aka.ms/MAS2.4.7&quot;&gt;MAS 2.4.7 – Focus Visible&lt;/a&gt;&lt;br style=&quot;box-sizing:border-box;&quot;&gt; &lt;/div&gt;&lt;div&gt;&lt;br style=&quot;box-sizing:border-box;&quot;&gt; &lt;/div&gt;&lt;div&gt;&lt;b&gt;WCAG Reference link:&lt;/b&gt;&lt;br style=&quot;box-sizing:border-box;&quot;&gt; &lt;/div&gt;&lt;div&gt;&lt;a href=&quot;https://www.w3.org/WAI/WCAG21/Understanding/focus-visible.html&quot;&gt;https://www.w3.org/WAI/WCAG21/Understanding/focus-visible.html&lt;/a&gt;&lt;br&gt; &lt;/div&gt; &lt;/div&gt;&lt;div style=&quot;box-sizing:border-box;font-weight:400;&quot;&gt;&lt;div style=&quot;box-sizing:border-box;&quot;&gt;&lt;div style=&quot;box-sizing:border-box;&quot;&gt;&lt;div style=&quot;box-sizing:border-box;&quot;&gt;&lt;span style=&quot;box-sizing:border-box;font-weight:bold;&quot;&gt;&lt;div style=&quot;box-sizing:border-box;font-weight:400;&quot;&gt;&lt;div style=&quot;box-sizing:border-box;&quot;&gt;&lt;div style=&quot;box-sizing:border-box;font-family:&amp;quot;Segoe UI&amp;quot;, system-ui, &amp;quot;Apple Color Emoji&amp;quot;, &amp;quot;Segoe UI Emoji&amp;quot;, sans-serif;margin:0px 0in;&quot;&gt; &lt;/div&gt;&lt;a href=&quot;https://www.w3.org/WAI/WCAG21/Understanding/reflow.html&quot; style=&quot;box-sizing:border-box;text-decoration:underline;cursor:pointer;font-family:&amp;quot;Segoe UI&amp;quot;, system-ui, &amp;quot;Apple Color Emoji&amp;quot;, &amp;quot;Segoe UI Emoji&amp;quot;, sans-serif;&quot;&gt;&lt;/a&gt; &lt;/div&gt; &lt;/div&gt;&lt;/span&gt; &lt;/div&gt; &lt;/div&gt; &lt;/div&gt; &lt;/div&gt;"/>
    <s v="No"/>
    <x v="1"/>
    <s v="Priyanka Mangla "/>
  </r>
  <r>
    <n v="1517970"/>
    <s v="Bug"/>
    <s v="[Supporting the platform - OLP Power Apps - Content page]: After resizing the page at 400% zoom, Keyboard focus is not moving to the menu items after expanding hamburger while navigating using tab key."/>
    <s v="New"/>
    <s v="Enrique Monsalve &lt;v-monsalvee@microsoft.com&gt;"/>
    <s v="No revisado"/>
    <s v="William"/>
    <s v="Completado"/>
    <s v="A11y-1STPARTY; A11yMAS; A11yMASP3; CommonBrowsers; HCL; HCL_OLP - MayJune FY22 New Update; MAS 1.4.10; NewBaselineAssessment; RecID_8303"/>
    <m/>
    <x v="1"/>
    <s v="&lt;div style=&quot;box-sizing:border-box;&quot;&gt;&lt;b&gt;&lt;/b&gt; &lt;/div&gt;&lt;div style=&quot;box-sizing:border-box;&quot;&gt;&lt;b&gt;PWD Impact:&amp;nbsp;&lt;/b&gt;&lt;br&gt; &lt;/div&gt;&lt;div style=&quot;box-sizing:border-box;font-weight:400;&quot;&gt;&lt;span style=&quot;box-sizing:border-box;display:inline !important;&quot;&gt;&lt;span style=&quot;box-sizing:border-box;font-family:&amp;quot;Segoe UI&amp;quot;, sans-serif;display:inline !important;&quot;&gt;&lt;span style=&quot;box-sizing:border-box;display:inline !important;&quot;&gt;&lt;span style=&quot;display:inline !important;&quot;&gt;Low vision users who need to enlarge text for navigation through the page are getting impacted if the Keyboard focus is not moving to the menu items after expanding hamburger while navigating using tab key after resizing the page at 400% zoom.&lt;/span&gt;&lt;/span&gt;&lt;/span&gt;&lt;/span&gt; &lt;/div&gt;&lt;div style=&quot;box-sizing:border-box;font-weight:400;&quot;&gt;&lt;br style=&quot;box-sizing:border-box;&quot;&gt; &lt;/div&gt;&lt;div style=&quot;box-sizing:border-box;font-weight:400;&quot;&gt;&lt;div style=&quot;box-sizing:border-box;&quot;&gt; &lt;/div&gt;&lt;div style=&quot;box-sizing:border-box;&quot;&gt;&lt;b style=&quot;box-sizing:border-box;font-family:&amp;quot;Segoe UI&amp;quot;, sans-serif;&quot;&gt;Test Environment:&lt;/b&gt;&lt;br style=&quot;box-sizing:border-box;&quot;&gt; &lt;/div&gt;&lt;div style=&quot;box-sizing:border-box;&quot;&gt; &lt;/div&gt; &lt;/div&gt;&lt;div style=&quot;box-sizing:border-box;font-weight:400;&quot;&gt; &lt;/div&gt;&lt;div style=&quot;box-sizing:border-box;font-weight:400;&quot;&gt; &lt;/div&gt;&lt;div style=&quot;box-sizing:border-box;font-weight:400;&quot;&gt; &lt;/div&gt;&lt;div style=&quot;box-sizing:border-box;font-weight:400;&quot;&gt; &lt;/div&gt;&lt;p style=&quot;box-sizing:border-box;font-weight:400;margin:0in;&quot;&gt; &lt;/p&gt;&lt;span style=&quot;box-sizing:border-box;font-weight:400;&quot;&gt;&lt;/span&gt;&lt;span style=&quot;box-sizing:border-box;font-weight:400;&quot;&gt;&lt;/span&gt;&lt;span style=&quot;box-sizing:border-box;font-weight:400;&quot;&gt;OS: Windows 11 [Version 21H2 (OS Build 22000.675)]&lt;br style=&quot;box-sizing:border-box;&quot;&gt;&lt;/span&gt;&lt;div style=&quot;box-sizing:border-box;font-weight:400;&quot;&gt;Browser: Edge Chromium (102.0.1245.30), Chrome (102.0.5005.63) &lt;/div&gt;&lt;div style=&quot;box-sizing:border-box;font-weight:400;&quot;&gt;&lt;span style=&quot;box-sizing:border-box;&quot;&gt;URL:&amp;nbsp;&lt;a href=&quot;https://apps.preview.powerapps.com/play/e/aa1775d6-89ae-47fb-b2cd-ebeb56163da6/a/347399e1-18ec-4002-aa22-c0285a367aaf?tenantId=72f988bf-86f1-41af-91ab-2d7cd011db47&quot; style=&quot;box-sizing:border-box;text-decoration:underline;&quot;&gt;Onboarding App - Content - Power Apps&lt;/a&gt;&lt;/span&gt;&lt;br style=&quot;box-sizing:border-box;&quot;&gt; &lt;/div&gt;&lt;span style=&quot;box-sizing:border-box;font-weight:400;&quot;&gt;&lt;/span&gt;&lt;div style=&quot;box-sizing:border-box;font-weight:400;&quot;&gt; &lt;/div&gt;&lt;div style=&quot;box-sizing:border-box;font-weight:400;&quot;&gt; &lt;/div&gt;&lt;div style=&quot;box-sizing:border-box;font-weight:400;&quot;&gt;&lt;br style=&quot;box-sizing:border-box;&quot;&gt; &lt;/div&gt;&lt;div style=&quot;box-sizing:border-box;font-weight:400;&quot;&gt;&lt;span style=&quot;box-sizing:border-box;&quot;&gt;&lt;b style=&quot;box-sizing:border-box;&quot;&gt;&lt;/b&gt;&lt;/span&gt; &lt;/div&gt;&lt;p style=&quot;box-sizing:border-box;font-weight:400;margin:0in;&quot;&gt;&lt;span style=&quot;box-sizing:border-box;font-weight:bold;&quot;&gt;Pre-requisite:&lt;/span&gt; &lt;/p&gt;&lt;p style=&quot;box-sizing:border-box;font-weight:400;margin:0in;&quot;&gt;Step 1: Enable Display setting to a scale resolution of&lt;span&gt;&amp;nbsp;&lt;/span&gt;&lt;span style=&quot;box-sizing:border-box;display:inline !important;&quot;&gt;1280&amp;nbsp;&lt;/span&gt;* 1024 and update scaling to 100%. &lt;/p&gt;&lt;p style=&quot;box-sizing:border-box;font-weight:400;margin:0in;&quot;&gt;Step 2: Enable the browser setting to 400% Zoom mode. &lt;/p&gt;&lt;div style=&quot;box-sizing:border-box;font-weight:400;&quot;&gt;&lt;br&gt; &lt;/div&gt;&lt;div style=&quot;box-sizing:border-box;font-weight:400;&quot;&gt; &lt;/div&gt;&lt;div style=&quot;box-sizing:border-box;font-weight:400;&quot;&gt;&lt;p style=&quot;box-sizing:border-box;margin:0in;&quot;&gt;&lt;b style=&quot;box-sizing:border-box;&quot;&gt;Repro Steps:&lt;/b&gt;&lt;br style=&quot;box-sizing:border-box;&quot;&gt; &lt;/p&gt; &lt;/div&gt;&lt;div style=&quot;box-sizing:border-box;font-weight:400;&quot;&gt;&lt;div style=&quot;box-sizing:border-box;&quot;&gt;&lt;div style=&quot;box-sizing:border-box;&quot;&gt;&lt;div style=&quot;box-sizing:border-box;&quot;&gt;&lt;span style=&quot;box-sizing:border-box;&quot;&gt;&lt;div style=&quot;box-sizing:border-box;&quot;&gt; &lt;/div&gt;&lt;div style=&quot;box-sizing:border-box;&quot;&gt; &lt;/div&gt;&lt;div style=&quot;box-sizing:border-box;&quot;&gt; &lt;/div&gt;&lt;div style=&quot;box-sizing:border-box;&quot;&gt;Step 1:&lt;span style=&quot;box-sizing:border-box;&quot;&gt;&amp;nbsp;&lt;/span&gt;&lt;span style=&quot;box-sizing:border-box;color:rgb(36, 36, 36);font-family:-apple-system, BlinkMacSystemFont, &amp;quot;Segoe UI&amp;quot;, &amp;quot;Apple Color Emoji&amp;quot;, &amp;quot;Segoe UI Emoji&amp;quot;, &amp;quot;Segoe UI Web&amp;quot;, sans-serif;display:inline !important;&quot;&gt;Open the above URL in Edge Chromium Browser or chrome browser.&lt;/span&gt;&lt;span style=&quot;box-sizing:border-box;display:inline !important;&quot;&gt;&lt;/span&gt; &lt;/div&gt;&lt;/span&gt; &lt;/div&gt; &lt;/div&gt; &lt;/div&gt; &lt;/div&gt;&lt;div style=&quot;box-sizing:border-box;font-weight:400;&quot;&gt;Step 2: &lt;span style=&quot;display:inline !important;&quot;&gt;'Onboarding App - Content Page - Power Apps' page will appear.&amp;nbsp;&lt;/span&gt; &lt;/div&gt;&lt;div style=&quot;box-sizing:border-box;font-weight:400;&quot;&gt;&lt;div style=&quot;box-sizing:border-box;&quot;&gt;&lt;div style=&quot;box-sizing:border-box;&quot;&gt;&lt;div style=&quot;box-sizing:border-box;&quot;&gt;&lt;span style=&quot;box-sizing:border-box;&quot;&gt;&lt;div style=&quot;box-sizing:border-box;&quot;&gt;Step 3: Navigate and activate the 'hamburger' control. &lt;/div&gt;&lt;div style=&quot;box-sizing:border-box;&quot;&gt;&lt;span style=&quot;box-sizing:border-box;&quot;&gt;&lt;span style=&quot;box-sizing:border-box;&quot;&gt;Step 4:&lt;span style=&quot;box-sizing:border-box;&quot;&gt;&amp;nbsp;Verify whether a&lt;/span&gt;&lt;/span&gt;fter resizing the page at 400% zoom, Keyboard focus is not moving to the menu items after expanding hamburger while navigating using tab key&amp;nbsp;or not.&lt;br style=&quot;box-sizing:border-box;&quot;&gt;&lt;/span&gt; &lt;/div&gt;&lt;div style=&quot;box-sizing:border-box;&quot;&gt;&lt;span style=&quot;box-sizing:border-box;&quot;&gt;&lt;/span&gt; &lt;/div&gt;&lt;div style=&quot;box-sizing:border-box;&quot;&gt;&lt;span style=&quot;box-sizing:border-box;&quot;&gt;&lt;/span&gt; &lt;/div&gt;&lt;div style=&quot;box-sizing:border-box;&quot;&gt;&lt;span style=&quot;box-sizing:border-box;&quot;&gt;&lt;span style=&quot;box-sizing:border-box;font-family:Calibri, sans-serif;font-size:14.6667px;display:inline !important;&quot;&gt;&lt;span style=&quot;box-sizing:border-box;font-size:14px;display:inline !important;&quot;&gt;&lt;br style=&quot;box-sizing:border-box;&quot;&gt;&lt;/span&gt;&lt;/span&gt;&lt;/span&gt; &lt;/div&gt;&lt;/span&gt; &lt;/div&gt; &lt;/div&gt; &lt;/div&gt; &lt;/div&gt;&lt;div style=&quot;box-sizing:border-box;font-weight:400;&quot;&gt;&lt;div style=&quot;box-sizing:border-box;&quot;&gt;&lt;div style=&quot;box-sizing:border-box;&quot;&gt;&lt;b style=&quot;box-sizing:border-box;&quot;&gt;&lt;/b&gt; &lt;/div&gt; &lt;/div&gt; &lt;/div&gt;&lt;div style=&quot;box-sizing:border-box;font-weight:400;&quot;&gt;&lt;div style=&quot;box-sizing:border-box;&quot;&gt;&lt;div style=&quot;box-sizing:border-box;&quot;&gt;&lt;b style=&quot;box-sizing:border-box;&quot;&gt;Actual Result:&lt;/b&gt;&lt;br style=&quot;box-sizing:border-box;&quot;&gt; &lt;/div&gt; &lt;/div&gt; &lt;/div&gt;&lt;div style=&quot;box-sizing:border-box;font-weight:400;&quot;&gt; &lt;/div&gt;&lt;div style=&quot;box-sizing:border-box;font-weight:400;&quot;&gt;&lt;b style=&quot;box-sizing:border-box;&quot;&gt;&lt;span style=&quot;box-sizing:border-box;display:inline !important;&quot;&gt;&lt;/span&gt;&lt;/b&gt; &lt;/div&gt;&lt;div style=&quot;box-sizing:border-box;font-weight:400;&quot;&gt; &lt;/div&gt;&lt;div style=&quot;box-sizing:border-box;&quot;&gt;&lt;div style=&quot;font-weight:400;box-sizing:border-box;&quot;&gt;After resizing the page at 400% zoom, Keyboard focus is not moving to the menu items after expanding hamburger while navigating using tab key. &lt;/div&gt;&lt;div style=&quot;box-sizing:border-box;&quot;&gt;&lt;b&gt;Observation: &lt;/b&gt;Keyboard focus order as follows &lt;/div&gt;&lt;div style=&quot;box-sizing:border-box;&quot;&gt;After expanding the hamburger --&amp;gt; Focus on entire hamburger menu &lt;/div&gt;&lt;div style=&quot;box-sizing:border-box;&quot;&gt;For first tab --&amp;gt; Close. &lt;/div&gt;&lt;div style=&quot;box-sizing:border-box;&quot;&gt;For second tab --&amp;gt; Filter after that it reaches end of the page. Again, from the start of the page. This time it moves to&lt;span style=&quot;display:inline !important;&quot;&gt;&lt;span&gt;&amp;nbsp;&lt;/span&gt;&lt;/span&gt;inside menu items. &lt;/div&gt;&lt;div style=&quot;box-sizing:border-box;&quot;&gt;&lt;b&gt;Note:&amp;nbsp;&lt;/b&gt;&lt;span&gt;Same issue is observed for the 200 % zoom mode also.&lt;/span&gt;&lt;br&gt; &lt;/div&gt; &lt;/div&gt;&lt;div style=&quot;box-sizing:border-box;&quot;&gt;&lt;br&gt; &lt;/div&gt;&lt;div style=&quot;box-sizing:border-box;&quot;&gt;&lt;div style=&quot;font-weight:400;box-sizing:border-box;&quot;&gt; &lt;/div&gt;&lt;div style=&quot;font-weight:400;box-sizing:border-box;&quot;&gt;&lt;b style=&quot;box-sizing:border-box;&quot;&gt;Expected Result:&lt;br style=&quot;box-sizing:border-box;&quot;&gt;&lt;/b&gt;&lt;div style=&quot;box-sizing:border-box;&quot;&gt;&lt;div style=&quot;box-sizing:border-box;&quot;&gt; &lt;/div&gt; &lt;/div&gt;&lt;span style=&quot;box-sizing:border-box;display:inline !important;&quot;&gt;&lt;/span&gt;After resizing the page at 400% zoom, Keyboard focus should move to the menu items after expanding hamburger while navigating using tab key.&lt;span style=&quot;box-sizing:border-box;display:inline !important;&quot;&gt;&lt;/span&gt; &lt;/div&gt;&lt;div style=&quot;box-sizing:border-box;&quot;&gt;&lt;span style=&quot;box-sizing:border-box;display:inline !important;&quot;&gt;&lt;span style=&quot;display:inline !important;&quot;&gt;&lt;b&gt;Ensure that&lt;/b&gt;,&lt;/span&gt;&lt;/span&gt; &lt;/div&gt;&lt;div style=&quot;font-weight:400;box-sizing:border-box;&quot;&gt;&lt;ol&gt;&lt;li&gt;&lt;span style=&quot;box-sizing:border-box;display:inline !important;&quot;&gt;&lt;span style=&quot;display:inline !important;&quot;&gt;Keyboard focus should land on Close button after expanding the hamburger for next tab it should moves to &lt;span style=&quot;display:inline !important;&quot;&gt;first menu item i.e. 'Collapse all/Expand all' control&lt;/span&gt;.&lt;/span&gt;&lt;/span&gt; &lt;/li&gt;&lt;li&gt;Hamburger should get closed when keyboard focus moves out of the hamburger related menu items i.e. search control.&amp;nbsp; &lt;/li&gt; &lt;/ol&gt; &lt;/div&gt;&lt;div style=&quot;box-sizing:border-box;&quot;&gt; &lt;/div&gt; &lt;/div&gt;&lt;div style=&quot;box-sizing:border-box;font-weight:400;&quot;&gt;&lt;div style=&quot;box-sizing:border-box;&quot;&gt;&lt;div style=&quot;box-sizing:border-box;&quot;&gt;&lt;div style=&quot;box-sizing:border-box;&quot;&gt;&lt;span style=&quot;box-sizing:border-box;font-weight:bold;&quot;&gt;&lt;div style=&quot;box-sizing:border-box;font-weight:400;&quot;&gt;&lt;div style=&quot;box-sizing:border-box;&quot;&gt;&lt;b style=&quot;box-sizing:border-box;&quot;&gt;&lt;/b&gt; &lt;/div&gt;&lt;div style=&quot;box-sizing:border-box;&quot;&gt;&lt;div style=&quot;box-sizing:border-box;font-family:&amp;quot;Segoe UI&amp;quot;, system-ui, &amp;quot;Apple Color Emoji&amp;quot;, &amp;quot;Segoe UI Emoji&amp;quot;, sans-serif;margin:0px 0in;&quot;&gt;&lt;span style=&quot;box-sizing:border-box;&quot;&gt;&lt;b style=&quot;box-sizing:border-box;&quot;&gt;MAS Reference:&lt;/b&gt;&lt;/span&gt; &lt;/div&gt;&lt;div style=&quot;box-sizing:border-box;font-family:&amp;quot;Segoe UI&amp;quot;, system-ui, &amp;quot;Apple Color Emoji&amp;quot;, &amp;quot;Segoe UI Emoji&amp;quot;, sans-serif;margin:0px 0in;&quot;&gt;&lt;span style=&quot;box-sizing:border-box;&quot;&gt;&lt;a href=&quot;https://microsoft.sharepoint.com/:w:/r/sites/accessibility/_layouts/15/Doc.aspx?sourcedoc=%7b01839D9A-2E1B-423E-B7FA-A9BAD43FD301%7d&amp;amp;file=MAS%201.4.10%20%E2%80%93%20Reflow.docx&amp;amp;wdLOR=cE644E791-4BD0-43AB-8EE6-07C443CBDD40&amp;amp;action=default&amp;amp;mobileredirect=true&quot; style=&quot;box-sizing:border-box;text-decoration:underline;cursor:pointer;&quot;&gt;MAS 1.4.10 – Reflow&lt;/a&gt;&lt;br style=&quot;box-sizing:border-box;&quot;&gt;&lt;/span&gt; &lt;/div&gt;&lt;div style=&quot;box-sizing:border-box;font-family:&amp;quot;Segoe UI&amp;quot;, system-ui, &amp;quot;Apple Color Emoji&amp;quot;, &amp;quot;Segoe UI Emoji&amp;quot;, sans-serif;margin:0px 0in;&quot;&gt;&lt;br style=&quot;box-sizing:border-box;&quot;&gt; &lt;/div&gt;&lt;div style=&quot;box-sizing:border-box;font-family:&amp;quot;Segoe UI&amp;quot;, system-ui, &amp;quot;Apple Color Emoji&amp;quot;, &amp;quot;Segoe UI Emoji&amp;quot;, sans-serif;margin:0px 0in;&quot;&gt;&lt;b style=&quot;box-sizing:border-box;&quot;&gt;WCAG Reference:&lt;/b&gt; &lt;/div&gt;&lt;div style=&quot;box-sizing:border-box;font-family:&amp;quot;Segoe UI&amp;quot;, system-ui, &amp;quot;Apple Color Emoji&amp;quot;, &amp;quot;Segoe UI Emoji&amp;quot;, sans-serif;margin:0px 0in;&quot;&gt;&lt;a href=&quot;https://www.w3.org/WAI/WCAG21/Understanding/non-text-content.html&quot; style=&quot;box-sizing:border-box;text-decoration:underline;cursor:pointer;&quot;&gt;&lt;span lang=en-IN style=&quot;box-sizing:border-box;&quot;&gt;&lt;/span&gt;&lt;/a&gt; &lt;/div&gt;&lt;a href=&quot;https://www.w3.org/WAI/WCAG21/Understanding/reflow.html&quot; style=&quot;box-sizing:border-box;text-decoration:underline;cursor:pointer;font-family:&amp;quot;Segoe UI&amp;quot;, system-ui, &amp;quot;Apple Color Emoji&amp;quot;, &amp;quot;Segoe UI Emoji&amp;quot;, sans-serif;&quot;&gt;https://www.w3.org/WAI/WCAG21/Understanding/reflow.html&lt;/a&gt; &lt;/div&gt; &lt;/div&gt;&lt;/span&gt; &lt;/div&gt; &lt;/div&gt; &lt;/div&gt; &lt;/div&gt;"/>
    <s v="Si"/>
    <x v="0"/>
    <s v="Enrique Monsalve "/>
  </r>
  <r>
    <n v="1517977"/>
    <s v="Bug"/>
    <s v="[Supporting the platform - OLP Power Apps - Content page]: After resizing the page at 200% zoom, Keyboard focus is not moving to the sort related controls upon activating 'Sort' button."/>
    <s v="New"/>
    <s v="Enrique Monsalve &lt;v-monsalvee@microsoft.com&gt;"/>
    <s v="No revisado"/>
    <m/>
    <s v="Completado"/>
    <s v="A11y-1STPARTY; A11yMAS; A11yMASP3; CommonBrowsers; HCL; HCL_OLP - MayJune FY22 New Update; MAS 1.4.4; NewBaselineAssessment; RecID_8303"/>
    <s v="Accessibility team nos confirmó que es un product related bug. Existe la alternativa de SetFocus al botton de &quot;Apply."/>
    <x v="0"/>
    <s v="&lt;div style=&quot;box-sizing:border-box;&quot;&gt;&lt;b&gt;&lt;/b&gt; &lt;/div&gt;&lt;div style=&quot;box-sizing:border-box;&quot;&gt;&lt;b&gt;PWD Impact:&amp;nbsp;&lt;/b&gt;&lt;br&gt; &lt;/div&gt;&lt;div style=&quot;box-sizing:border-box;font-weight:400;&quot;&gt;&lt;span style=&quot;box-sizing:border-box;display:inline !important;&quot;&gt;&lt;span style=&quot;box-sizing:border-box;font-family:&amp;quot;Segoe UI&amp;quot;, sans-serif;display:inline !important;&quot;&gt;&lt;span style=&quot;box-sizing:border-box;display:inline !important;&quot;&gt;&lt;span style=&quot;display:inline !important;&quot;&gt;Low vision users who need to enlarge text for navigation through the page are getting impacted if the Keyboard focus is not moving to the sort related controls upon activating 'Sort' button&amp;nbsp;after resizing the page at 200% zoom.&lt;/span&gt;&lt;/span&gt;&lt;/span&gt;&lt;/span&gt; &lt;/div&gt;&lt;div style=&quot;box-sizing:border-box;font-weight:400;&quot;&gt;&lt;br style=&quot;box-sizing:border-box;&quot;&gt; &lt;/div&gt;&lt;div style=&quot;box-sizing:border-box;font-weight:400;&quot;&gt;&lt;div style=&quot;box-sizing:border-box;&quot;&gt; &lt;/div&gt;&lt;div style=&quot;box-sizing:border-box;&quot;&gt;&lt;b style=&quot;box-sizing:border-box;font-family:&amp;quot;Segoe UI&amp;quot;, sans-serif;&quot;&gt;Test Environment:&lt;/b&gt;&lt;br style=&quot;box-sizing:border-box;&quot;&gt; &lt;/div&gt;&lt;div style=&quot;box-sizing:border-box;&quot;&gt; &lt;/div&gt; &lt;/div&gt;&lt;div style=&quot;box-sizing:border-box;font-weight:400;&quot;&gt; &lt;/div&gt;&lt;div style=&quot;box-sizing:border-box;font-weight:400;&quot;&gt; &lt;/div&gt;&lt;div style=&quot;box-sizing:border-box;font-weight:400;&quot;&gt; &lt;/div&gt;&lt;div style=&quot;box-sizing:border-box;font-weight:400;&quot;&gt; &lt;/div&gt;&lt;p style=&quot;box-sizing:border-box;font-weight:400;margin:0in;&quot;&gt; &lt;/p&gt;&lt;span style=&quot;box-sizing:border-box;font-weight:400;&quot;&gt;&lt;/span&gt;&lt;span style=&quot;box-sizing:border-box;font-weight:400;&quot;&gt;&lt;/span&gt;&lt;span style=&quot;box-sizing:border-box;font-weight:400;&quot;&gt;OS: Windows 11 [Version 21H2 (OS Build 22000.675)]&lt;br style=&quot;box-sizing:border-box;&quot;&gt;&lt;/span&gt;&lt;div style=&quot;box-sizing:border-box;font-weight:400;&quot;&gt;Browser: Edge Chromium (102.0.1245.30), Chrome (102.0.5005.63) &lt;/div&gt;&lt;div style=&quot;box-sizing:border-box;font-weight:400;&quot;&gt;&lt;span style=&quot;box-sizing:border-box;&quot;&gt;URL:&amp;nbsp;&lt;a href=&quot;https://apps.preview.powerapps.com/play/e/aa1775d6-89ae-47fb-b2cd-ebeb56163da6/a/347399e1-18ec-4002-aa22-c0285a367aaf?tenantId=72f988bf-86f1-41af-91ab-2d7cd011db47&quot; style=&quot;box-sizing:border-box;text-decoration:underline;&quot;&gt;Onboarding App - Content - Power Apps&lt;/a&gt;&lt;/span&gt;&lt;br style=&quot;box-sizing:border-box;&quot;&gt; &lt;/div&gt;&lt;span style=&quot;box-sizing:border-box;font-weight:400;&quot;&gt;&lt;/span&gt;&lt;div style=&quot;box-sizing:border-box;font-weight:400;&quot;&gt; &lt;/div&gt;&lt;div style=&quot;box-sizing:border-box;font-weight:400;&quot;&gt; &lt;/div&gt;&lt;div style=&quot;box-sizing:border-box;font-weight:400;&quot;&gt;&lt;br style=&quot;box-sizing:border-box;&quot;&gt; &lt;/div&gt;&lt;div style=&quot;box-sizing:border-box;font-weight:400;&quot;&gt;&lt;span style=&quot;box-sizing:border-box;&quot;&gt;&lt;b style=&quot;box-sizing:border-box;&quot;&gt;&lt;/b&gt;&lt;/span&gt; &lt;/div&gt;&lt;p style=&quot;box-sizing:border-box;font-weight:400;margin:0in;&quot;&gt;&lt;span style=&quot;box-sizing:border-box;font-weight:bold;&quot;&gt;Pre-requisite:&lt;/span&gt; &lt;/p&gt;&lt;p style=&quot;box-sizing:border-box;font-weight:400;margin:0in;&quot;&gt;Step 1: Enable the browser setting to 200% Zoom mode. &lt;/p&gt;&lt;div style=&quot;box-sizing:border-box;font-weight:400;&quot;&gt;&lt;br&gt; &lt;/div&gt;&lt;div style=&quot;box-sizing:border-box;font-weight:400;&quot;&gt; &lt;/div&gt;&lt;div style=&quot;box-sizing:border-box;font-weight:400;&quot;&gt;&lt;p style=&quot;box-sizing:border-box;margin:0in;&quot;&gt;&lt;b style=&quot;box-sizing:border-box;&quot;&gt;Repro Steps:&lt;/b&gt;&lt;br style=&quot;box-sizing:border-box;&quot;&gt; &lt;/p&gt; &lt;/div&gt;&lt;div style=&quot;box-sizing:border-box;font-weight:400;&quot;&gt;&lt;div style=&quot;box-sizing:border-box;&quot;&gt;&lt;div style=&quot;box-sizing:border-box;&quot;&gt;&lt;div style=&quot;box-sizing:border-box;&quot;&gt;&lt;span style=&quot;box-sizing:border-box;&quot;&gt;&lt;div style=&quot;box-sizing:border-box;&quot;&gt; &lt;/div&gt;&lt;div style=&quot;box-sizing:border-box;&quot;&gt; &lt;/div&gt;&lt;div style=&quot;box-sizing:border-box;&quot;&gt; &lt;/div&gt;&lt;div style=&quot;box-sizing:border-box;&quot;&gt;Step 1:&lt;span style=&quot;box-sizing:border-box;&quot;&gt;&amp;nbsp;&lt;/span&gt;&lt;span style=&quot;box-sizing:border-box;color:rgb(36, 36, 36);font-family:-apple-system, BlinkMacSystemFont, &amp;quot;Segoe UI&amp;quot;, &amp;quot;Apple Color Emoji&amp;quot;, &amp;quot;Segoe UI Emoji&amp;quot;, &amp;quot;Segoe UI Web&amp;quot;, sans-serif;display:inline !important;&quot;&gt;Open the above URL in Edge Chromium Browser or chrome browser.&lt;/span&gt;&lt;span style=&quot;box-sizing:border-box;display:inline !important;&quot;&gt;&lt;/span&gt; &lt;/div&gt;&lt;/span&gt; &lt;/div&gt; &lt;/div&gt; &lt;/div&gt; &lt;/div&gt;&lt;div style=&quot;box-sizing:border-box;font-weight:400;&quot;&gt;Step 2: &lt;span style=&quot;display:inline !important;&quot;&gt;'Onboarding App - Content Page - Power Apps' page will appear.&amp;nbsp;&lt;/span&gt; &lt;/div&gt;&lt;div style=&quot;box-sizing:border-box;font-weight:400;&quot;&gt;&lt;div style=&quot;box-sizing:border-box;&quot;&gt;&lt;div style=&quot;box-sizing:border-box;&quot;&gt;&lt;div style=&quot;box-sizing:border-box;&quot;&gt;&lt;span style=&quot;box-sizing:border-box;&quot;&gt;&lt;div style=&quot;box-sizing:border-box;&quot;&gt;Step 3: Navigate and activate the 'hamburger' control. &lt;/div&gt;&lt;/span&gt; &lt;/div&gt; &lt;/div&gt; &lt;/div&gt; &lt;/div&gt;&lt;div&gt;&lt;div&gt;Step 4:&amp;nbsp;Verify whether after resizing the page at 200% zoom, Keyboard focus is not moving to the sort related controls upon activating 'Sort' button&amp;nbsp;or not.&lt;br style=&quot;box-sizing:border-box;&quot;&gt; &lt;/div&gt; &lt;/div&gt;&lt;div style=&quot;box-sizing:border-box;font-weight:400;&quot;&gt;&lt;div style=&quot;box-sizing:border-box;&quot;&gt;&lt;div style=&quot;box-sizing:border-box;&quot;&gt;&lt;div style=&quot;box-sizing:border-box;&quot;&gt;&lt;span style=&quot;box-sizing:border-box;&quot;&gt;&lt;div style=&quot;box-sizing:border-box;&quot;&gt; &lt;/div&gt;&lt;div style=&quot;box-sizing:border-box;&quot;&gt;&lt;span style=&quot;box-sizing:border-box;&quot;&gt;&lt;/span&gt; &lt;/div&gt;&lt;div style=&quot;box-sizing:border-box;&quot;&gt;&lt;span style=&quot;box-sizing:border-box;&quot;&gt;&lt;/span&gt; &lt;/div&gt;&lt;div style=&quot;box-sizing:border-box;&quot;&gt;&lt;span style=&quot;box-sizing:border-box;&quot;&gt;&lt;span style=&quot;box-sizing:border-box;font-family:Calibri, sans-serif;font-size:14.6667px;display:inline !important;&quot;&gt;&lt;span style=&quot;box-sizing:border-box;font-size:14px;display:inline !important;&quot;&gt;&lt;br style=&quot;box-sizing:border-box;&quot;&gt;&lt;/span&gt;&lt;/span&gt;&lt;/span&gt; &lt;/div&gt;&lt;/span&gt; &lt;/div&gt; &lt;/div&gt; &lt;/div&gt; &lt;/div&gt;&lt;div style=&quot;box-sizing:border-box;font-weight:400;&quot;&gt;&lt;div style=&quot;box-sizing:border-box;&quot;&gt;&lt;div style=&quot;box-sizing:border-box;&quot;&gt;&lt;b style=&quot;box-sizing:border-box;&quot;&gt;&lt;/b&gt; &lt;/div&gt; &lt;/div&gt; &lt;/div&gt;&lt;div style=&quot;box-sizing:border-box;font-weight:400;&quot;&gt;&lt;div style=&quot;box-sizing:border-box;&quot;&gt;&lt;div style=&quot;box-sizing:border-box;&quot;&gt;&lt;b style=&quot;box-sizing:border-box;&quot;&gt;Actual Result:&lt;/b&gt;&lt;br style=&quot;box-sizing:border-box;&quot;&gt; &lt;/div&gt; &lt;/div&gt; &lt;/div&gt;&lt;div style=&quot;box-sizing:border-box;font-weight:400;&quot;&gt; &lt;/div&gt;&lt;div style=&quot;box-sizing:border-box;font-weight:400;&quot;&gt;&lt;b style=&quot;box-sizing:border-box;&quot;&gt;&lt;span style=&quot;box-sizing:border-box;display:inline !important;&quot;&gt;&lt;/span&gt;&lt;/b&gt; &lt;/div&gt;&lt;div style=&quot;box-sizing:border-box;font-weight:400;&quot;&gt; &lt;/div&gt;&lt;div style=&quot;box-sizing:border-box;&quot;&gt;&lt;div style=&quot;font-weight:400;box-sizing:border-box;&quot;&gt;After resizing the page at 200% zoom, Keyboard focus is not moving to the sort related controls upon activating 'Sort' button. &lt;/div&gt;&lt;div style=&quot;box-sizing:border-box;&quot;&gt;&lt;b&gt;Observation: &lt;/b&gt;Keyboard focus order as follows &lt;/div&gt;&lt;div style=&quot;box-sizing:border-box;&quot;&gt;After expanding the Sort--&amp;gt; Focus on entire Sort dialog &lt;/div&gt; &lt;/div&gt;&lt;div&gt;For first tab --&amp;gt; 'Assigned to you ()'. &lt;/div&gt;&lt;div&gt;For second tab --&amp;gt; 'Bookmarked ()' after that it reaches end of_x000a_the page.&amp;nbsp; &lt;/div&gt;&lt;div&gt;Again, from the start of the page. This time it moves inside Sort_x000a_dialog. &lt;/div&gt;&lt;div&gt;&lt;br&gt; &lt;/div&gt;&lt;div style=&quot;box-sizing:border-box;&quot;&gt;&lt;div style=&quot;box-sizing:border-box;&quot;&gt;&lt;b&gt;Note:&amp;nbsp;&lt;/b&gt;&lt;span&gt;Same issue is observed for the 400 % zoom mode also.&lt;/span&gt;&lt;br&gt; &lt;/div&gt; &lt;/div&gt;&lt;div style=&quot;box-sizing:border-box;&quot;&gt;&lt;br&gt; &lt;/div&gt;&lt;div style=&quot;box-sizing:border-box;&quot;&gt;&lt;div style=&quot;font-weight:400;box-sizing:border-box;&quot;&gt; &lt;/div&gt;&lt;div style=&quot;font-weight:400;box-sizing:border-box;&quot;&gt;&lt;b style=&quot;box-sizing:border-box;&quot;&gt;Expected Result:&lt;br style=&quot;box-sizing:border-box;&quot;&gt;&lt;/b&gt;&lt;div style=&quot;box-sizing:border-box;&quot;&gt;&lt;div style=&quot;box-sizing:border-box;&quot;&gt; &lt;/div&gt; &lt;/div&gt;&lt;span style=&quot;box-sizing:border-box;display:inline !important;&quot;&gt;&lt;/span&gt;After resizing the page at 200% zoom, Keyboard focus is not moving to the sort related controls upon activating 'Sort' button.&lt;span style=&quot;box-sizing:border-box;display:inline !important;&quot;&gt;&lt;/span&gt; &lt;/div&gt;&lt;div style=&quot;box-sizing:border-box;&quot;&gt;&lt;span style=&quot;box-sizing:border-box;display:inline !important;&quot;&gt;&lt;span style=&quot;display:inline !important;&quot;&gt;&lt;b&gt;Ensure that&lt;/b&gt;,&lt;/span&gt;&lt;/span&gt; &lt;/div&gt;&lt;div style=&quot;font-weight:400;box-sizing:border-box;&quot;&gt;&lt;ol&gt;&lt;li&gt;&lt;span style=&quot;box-sizing:border-box;display:inline !important;&quot;&gt;&lt;span style=&quot;display:inline !important;&quot;&gt;Keyboard focus should land on first control i.e. 'Modality' related combo box upon invoking the 'Sort' &lt;span style=&quot;display:inline !important;&quot;&gt;control&lt;/span&gt;.&lt;/span&gt;&lt;/span&gt; &lt;/li&gt;&lt;li&gt;Sort-related dialog should get closed when keyboard focus moves out of the sort related dialog i.e. &lt;span style=&quot;text-align:start;display:inline !important;&quot;&gt;'Assigned to you ()'&lt;/span&gt;.&amp;nbsp; &lt;/li&gt; &lt;/ol&gt; &lt;/div&gt;&lt;div style=&quot;box-sizing:border-box;&quot;&gt; &lt;/div&gt; &lt;/div&gt;&lt;div style=&quot;box-sizing:border-box;font-weight:400;&quot;&gt;&lt;div style=&quot;box-sizing:border-box;&quot;&gt;&lt;div style=&quot;box-sizing:border-box;&quot;&gt;&lt;div style=&quot;box-sizing:border-box;&quot;&gt;&lt;span style=&quot;box-sizing:border-box;font-weight:bold;&quot;&gt;&lt;div style=&quot;box-sizing:border-box;font-weight:400;&quot;&gt;&lt;div style=&quot;box-sizing:border-box;&quot;&gt;&lt;b style=&quot;box-sizing:border-box;&quot;&gt;&lt;/b&gt; &lt;/div&gt;&lt;div style=&quot;box-sizing:border-box;&quot;&gt;&lt;div style=&quot;box-sizing:border-box;font-family:&amp;quot;Segoe UI&amp;quot;, system-ui, &amp;quot;Apple Color Emoji&amp;quot;, &amp;quot;Segoe UI Emoji&amp;quot;, sans-serif;margin:0px 0in;&quot;&gt;&lt;span style=&quot;box-sizing:border-box;&quot;&gt;&lt;b style=&quot;box-sizing:border-box;&quot;&gt;MAS Reference:&lt;/b&gt;&lt;/span&gt; &lt;/div&gt; &lt;/div&gt; &lt;/div&gt;&lt;/span&gt; &lt;/div&gt; &lt;/div&gt; &lt;/div&gt; &lt;/div&gt;&lt;div&gt;&lt;div&gt;&lt;a href=&quot;https://microsoft.sharepoint.com/:w:/r/sites/accessibility/_layouts/15/Doc.aspx?sourcedoc=%7b5BE8E205-7508-414C-A273-657770321DA0%7d&amp;amp;file=MAS%201.4.4%20%E2%80%93%20Resize%20Text.docx&amp;amp;wdLOR=cD434D0F2-F515-4FD8-B4DA-BA99282968ED&amp;amp;action=default&amp;amp;mobileredirect=true&quot;&gt;MAS 1.4.4 – Resize Text&lt;/a&gt;&lt;br style=&quot;box-sizing:border-box;&quot;&gt; &lt;/div&gt; &lt;/div&gt;&lt;div style=&quot;box-sizing:border-box;font-weight:400;&quot;&gt;&lt;div style=&quot;box-sizing:border-box;&quot;&gt;&lt;div style=&quot;box-sizing:border-box;&quot;&gt;&lt;div style=&quot;box-sizing:border-box;&quot;&gt;&lt;span style=&quot;box-sizing:border-box;font-weight:bold;&quot;&gt;&lt;div style=&quot;box-sizing:border-box;font-weight:400;&quot;&gt;&lt;div style=&quot;box-sizing:border-box;&quot;&gt;&lt;div style=&quot;box-sizing:border-box;font-family:&amp;quot;Segoe UI&amp;quot;, system-ui, &amp;quot;Apple Color Emoji&amp;quot;, &amp;quot;Segoe UI Emoji&amp;quot;, sans-serif;margin:0px 0in;&quot;&gt; &lt;/div&gt;&lt;div style=&quot;box-sizing:border-box;font-family:&amp;quot;Segoe UI&amp;quot;, system-ui, &amp;quot;Apple Color Emoji&amp;quot;, &amp;quot;Segoe UI Emoji&amp;quot;, sans-serif;margin:0px 0in;&quot;&gt;&lt;br style=&quot;box-sizing:border-box;&quot;&gt; &lt;/div&gt;&lt;div style=&quot;box-sizing:border-box;font-family:&amp;quot;Segoe UI&amp;quot;, system-ui, &amp;quot;Apple Color Emoji&amp;quot;, &amp;quot;Segoe UI Emoji&amp;quot;, sans-serif;margin:0px 0in;&quot;&gt;&lt;b style=&quot;box-sizing:border-box;&quot;&gt;WCAG Reference:&lt;/b&gt; &lt;/div&gt;&lt;div style=&quot;box-sizing:border-box;font-family:&amp;quot;Segoe UI&amp;quot;, system-ui, &amp;quot;Apple Color Emoji&amp;quot;, &amp;quot;Segoe UI Emoji&amp;quot;, sans-serif;margin:0px 0in;&quot;&gt;&lt;a href=&quot;https://www.w3.org/WAI/WCAG21/Understanding/non-text-content.html&quot; style=&quot;box-sizing:border-box;text-decoration:underline;cursor:pointer;&quot;&gt;&lt;span lang=en-IN style=&quot;box-sizing:border-box;&quot;&gt;&lt;/span&gt;&lt;/a&gt; &lt;/div&gt;&lt;a href=&quot;https://www.w3.org/WAI/WCAG21/Understanding/resize-text.html&quot;&gt;https://www.w3.org/WAI/WCAG21/Understanding/resize-text.html&lt;/a&gt; &lt;/div&gt; &lt;/div&gt;&lt;/span&gt; &lt;/div&gt; &lt;/div&gt; &lt;/div&gt; &lt;/div&gt;"/>
    <s v="No"/>
    <x v="3"/>
    <s v="Priyanka Mangla "/>
  </r>
  <r>
    <n v="1517978"/>
    <s v="Bug"/>
    <s v="[Usable - OLP Power Apps - Content page]: Text is not aligned properly for the tiles present in the page and normal mode."/>
    <s v="New"/>
    <s v="Enrique Monsalve &lt;v-monsalvee@microsoft.com&gt;"/>
    <s v="Si"/>
    <s v="William"/>
    <s v="Completado"/>
    <s v="A11y-1STPARTY; A11yMAS; A11yMASP3; CommonBrowsers; HCL; HCL_OLP - MayJune FY22 New Update; MAS 4.2.7; NewBaselineAssessment; RecID_8303"/>
    <m/>
    <x v="1"/>
    <s v="&lt;div style=&quot;box-sizing:border-box;&quot;&gt;&lt;b&gt;&lt;/b&gt; &lt;/div&gt;&lt;div&gt;&lt;p style=&quot;margin:0in;&quot;&gt;&lt;span style=&quot;font-weight:bold;color:black;&quot;&gt;Note:&lt;/span&gt;&lt;b&gt;&amp;nbsp;&lt;/b&gt;Same issue is observed_x000a_throughout the application for similar type of controls. &lt;/p&gt;&lt;br&gt; &lt;/div&gt;&lt;div&gt;&lt;b&gt;PWD Impact:&amp;nbsp;&lt;/b&gt;&lt;br style=&quot;box-sizing:border-box;&quot;&gt; &lt;/div&gt;&lt;div&gt; &lt;/div&gt;&lt;div&gt; &lt;/div&gt;&lt;div&gt;&lt;span style=&quot;display:inline !important;&quot;&gt;&lt;span style=&quot;display:inline !important;&quot;&gt;All the Users will be impacted if text is getting truncated in normal mode. The user will not be able to get the information and will find it difficult to understand the context.&lt;/span&gt;&lt;/span&gt;&lt;br&gt; &lt;/div&gt;&lt;div&gt; &lt;/div&gt;&lt;div&gt;&lt;br style=&quot;box-sizing:border-box;&quot;&gt; &lt;/div&gt;&lt;div&gt; &lt;/div&gt;&lt;div&gt; &lt;/div&gt;&lt;div&gt;&lt;b&gt;Test Environment:&lt;/b&gt;&lt;br style=&quot;box-sizing:border-box;&quot;&gt; &lt;/div&gt;&lt;div&gt; &lt;/div&gt;&lt;div&gt; &lt;/div&gt;&lt;div&gt; &lt;/div&gt;&lt;div&gt; &lt;/div&gt;&lt;div&gt; &lt;/div&gt;&lt;div&gt; &lt;/div&gt;&lt;div&gt; &lt;/div&gt;&lt;div&gt; &lt;/div&gt;&lt;div&gt;OS: Windows 11 [Version 21H2 (OS Build 22000.675)]&lt;br style=&quot;box-sizing:border-box;&quot;&gt; &lt;/div&gt;&lt;div&gt;Browser: Edge Chromium (102.0.1245.30), Chrome (102.0.5005.63) &lt;/div&gt;&lt;div&gt;URL:&amp;nbsp;&lt;a href=&quot;https://apps.preview.powerapps.com/play/e/aa1775d6-89ae-47fb-b2cd-ebeb56163da6/a/347399e1-18ec-4002-aa22-c0285a367aaf?tenantId=72f988bf-86f1-41af-91ab-2d7cd011db47&quot;&gt;Onboarding App - Content - Power Apps&lt;/a&gt;&lt;br style=&quot;box-sizing:border-box;&quot;&gt; &lt;/div&gt;&lt;div&gt; &lt;/div&gt;&lt;div&gt; &lt;/div&gt;&lt;div&gt; &lt;/div&gt;&lt;div&gt; &lt;/div&gt;&lt;div&gt;&lt;br&gt; &lt;/div&gt;&lt;div&gt; &lt;/div&gt;&lt;div&gt; &lt;/div&gt;&lt;div&gt;&lt;b&gt;Repro Steps:&lt;/b&gt;&lt;br style=&quot;box-sizing:border-box;&quot;&gt; &lt;/div&gt;&lt;div&gt; &lt;/div&gt;&lt;div&gt; &lt;/div&gt;&lt;div&gt;&lt;div&gt; &lt;/div&gt;&lt;div&gt; &lt;/div&gt;&lt;div&gt; &lt;/div&gt;&lt;div&gt;Step 1:&amp;nbsp;Open the above URL in Edge Chromium Browser or chrome browser. &lt;/div&gt; &lt;/div&gt;&lt;div&gt; &lt;/div&gt;&lt;div&gt; &lt;/div&gt;&lt;div&gt; &lt;/div&gt;&lt;div&gt; &lt;/div&gt;&lt;div&gt;Step 2: 'Onboarding App - Content Page - Power Apps' page will appear.&amp;nbsp; &lt;/div&gt;&lt;div&gt;Step 3: Navigate to the 'Expand All' button and activate it. -&amp;gt;&amp;nbsp;&lt;span style=&quot;display:inline !important;&quot;&gt;Navigate to the&lt;span&gt;&amp;nbsp;Expand controls and activate it 'Tiles will be appear.&amp;nbsp;&lt;/span&gt;&lt;/span&gt; &lt;/div&gt;&lt;div&gt; &lt;/div&gt;&lt;div&gt;Step 4:&amp;nbsp;Verify whether&amp;nbsp;&lt;span style=&quot;display:inline !important;&quot;&gt;Text is not aligned properly for the tiles present in the page and normal mode&amp;nbsp;&lt;/span&gt;or not. &lt;br&gt; &lt;/div&gt;&lt;div&gt;&lt;div&gt; &lt;/div&gt;&lt;div&gt; &lt;/div&gt;&lt;div&gt; &lt;/div&gt;&lt;div&gt;&lt;br style=&quot;box-sizing:border-box;&quot;&gt; &lt;/div&gt;&lt;div&gt; &lt;/div&gt; &lt;/div&gt;&lt;div&gt; &lt;/div&gt;&lt;div&gt; &lt;/div&gt;&lt;div&gt; &lt;/div&gt;&lt;div&gt; &lt;/div&gt;&lt;div&gt; &lt;/div&gt;&lt;div&gt; &lt;/div&gt;&lt;div&gt; &lt;/div&gt;&lt;div&gt;&lt;b&gt;Actual Result:&lt;/b&gt; &lt;/div&gt;&lt;div&gt;Text is not aligned properly for the tiles present in the page and normal mode.  &lt;br&gt; &lt;/div&gt;&lt;div&gt; &lt;/div&gt;&lt;div&gt; &lt;/div&gt;&lt;div&gt;&lt;br&gt; &lt;/div&gt;&lt;div&gt;&lt;b&gt;Expected Result:&lt;/b&gt; &lt;/div&gt;&lt;div&gt; &lt;/div&gt;&lt;div&gt; &lt;/div&gt;&lt;div&gt;&lt;span style=&quot;display:inline !important;&quot;&gt;&lt;/span&gt;&lt;span style=&quot;display:inline !important;&quot;&gt;&lt;/span&gt;Text should not be aligned properly for the tiles present in the page and normal mode.&lt;br&gt;&lt;span style=&quot;display:inline !important;&quot;&gt;&lt;/span&gt;&lt;span style=&quot;display:inline !important;&quot;&gt;&lt;/span&gt;&lt;br&gt;&lt;b&gt;&lt;b style=&quot;box-sizing:border-box;font-family:&amp;quot;Segoe UI&amp;quot;, system-ui, &amp;quot;Apple Color Emoji&amp;quot;, &amp;quot;Segoe UI Emoji&amp;quot;, sans-serif;&quot;&gt;MAS Reference:&lt;/b&gt;&lt;/b&gt;&lt;br&gt;&lt;a href=&quot;https://microsoft.sharepoint.com/:w:/r/sites/accessibility/_layouts/15/Doc.aspx?sourcedoc=%7bB8D739BC-32CF-43FE-B238-F1EBEBA4D467%7d&amp;amp;file=MAS%204.2.7%20%E2%80%93%20Text.docx&amp;amp;action=default&amp;amp;mobileredirect=true&quot;&gt;MAS 4.2.7 – Text.docx (sharepoint.com)&lt;/a&gt; &lt;/div&gt;&lt;div style=&quot;box-sizing:border-box;font-weight:400;&quot;&gt;&lt;div style=&quot;box-sizing:border-box;&quot;&gt;&lt;div style=&quot;box-sizing:border-box;&quot;&gt;&lt;div style=&quot;box-sizing:border-box;&quot;&gt;&lt;span style=&quot;box-sizing:border-box;font-weight:bold;&quot;&gt;&lt;div style=&quot;box-sizing:border-box;font-weight:400;&quot;&gt;&lt;div style=&quot;box-sizing:border-box;&quot;&gt;&lt;div style=&quot;box-sizing:border-box;font-family:&amp;quot;Segoe UI&amp;quot;, system-ui, &amp;quot;Apple Color Emoji&amp;quot;, &amp;quot;Segoe UI Emoji&amp;quot;, sans-serif;margin:0px 0in;&quot;&gt; &lt;/div&gt;&lt;a href=&quot;https://www.w3.org/WAI/WCAG21/Understanding/reflow.html&quot; style=&quot;box-sizing:border-box;text-decoration:underline;cursor:pointer;font-family:&amp;quot;Segoe UI&amp;quot;, system-ui, &amp;quot;Apple Color Emoji&amp;quot;, &amp;quot;Segoe UI Emoji&amp;quot;, sans-serif;&quot;&gt;&lt;/a&gt; &lt;/div&gt; &lt;/div&gt;&lt;/span&gt; &lt;/div&gt; &lt;/div&gt; &lt;/div&gt; &lt;/div&gt;"/>
    <s v="No"/>
    <x v="1"/>
    <s v="Priyanka Mangla "/>
  </r>
  <r>
    <n v="1517980"/>
    <s v="Bug"/>
    <s v="[Supporting the platform - OLP Power Apps - Content page]: After resizing the page at 400% zoom, Keyboard focus indicator truncated for 'Filter' and 'Sort' buttons while navigating using tab or shift tab key."/>
    <s v="New"/>
    <s v="Enrique Monsalve &lt;v-monsalvee@microsoft.com&gt;"/>
    <s v="No revisado"/>
    <s v="Mauricio"/>
    <s v="Completado"/>
    <s v="A11y-1STPARTY; A11yMAS; A11yMASP3; CommonBrowsers; HCL; HCL_OLP - MayJune FY22 New Update; MAS 1.4.10; NewBaselineAssessment; RecID_8303"/>
    <s v="Se realiza el ajuste solicitado, los focus border ya no se contraponen"/>
    <x v="2"/>
    <s v="&lt;div style=&quot;box-sizing:border-box;&quot;&gt;&lt;b&gt;&lt;/b&gt; &lt;/div&gt;&lt;div style=&quot;box-sizing:border-box;&quot;&gt;&lt;b&gt;PWD Impact:&amp;nbsp;&lt;/b&gt;&lt;br&gt; &lt;/div&gt;&lt;div style=&quot;box-sizing:border-box;font-weight:400;&quot;&gt;&lt;span style=&quot;box-sizing:border-box;display:inline !important;&quot;&gt;&lt;span style=&quot;box-sizing:border-box;font-family:&amp;quot;Segoe UI&amp;quot;, sans-serif;display:inline !important;&quot;&gt;&lt;span style=&quot;box-sizing:border-box;display:inline !important;&quot;&gt;&lt;span style=&quot;display:inline !important;&quot;&gt;Low vision users who need to enlarge text for navigation through the page are getting impacted if the &lt;span style=&quot;display:inline !important;&quot;&gt;Keyboard focus indicator truncated for 'Filter' and 'Sort' buttons.&lt;/span&gt;&amp;nbsp;after resizing the page at 400% zoom.&lt;/span&gt;&lt;/span&gt;&lt;/span&gt;&lt;/span&gt; &lt;/div&gt;&lt;div style=&quot;box-sizing:border-box;font-weight:400;&quot;&gt;&lt;br style=&quot;box-sizing:border-box;&quot;&gt; &lt;/div&gt;&lt;div style=&quot;box-sizing:border-box;font-weight:400;&quot;&gt;&lt;div style=&quot;box-sizing:border-box;&quot;&gt; &lt;/div&gt;&lt;div style=&quot;box-sizing:border-box;&quot;&gt;&lt;b style=&quot;box-sizing:border-box;font-family:&amp;quot;Segoe UI&amp;quot;, sans-serif;&quot;&gt;Test Environment:&lt;/b&gt;&lt;br style=&quot;box-sizing:border-box;&quot;&gt; &lt;/div&gt;&lt;div style=&quot;box-sizing:border-box;&quot;&gt; &lt;/div&gt; &lt;/div&gt;&lt;div style=&quot;box-sizing:border-box;font-weight:400;&quot;&gt; &lt;/div&gt;&lt;div style=&quot;box-sizing:border-box;font-weight:400;&quot;&gt; &lt;/div&gt;&lt;div style=&quot;box-sizing:border-box;font-weight:400;&quot;&gt; &lt;/div&gt;&lt;div style=&quot;box-sizing:border-box;font-weight:400;&quot;&gt; &lt;/div&gt;&lt;p style=&quot;box-sizing:border-box;font-weight:400;margin:0in;&quot;&gt; &lt;/p&gt;&lt;span style=&quot;box-sizing:border-box;font-weight:400;&quot;&gt;&lt;/span&gt;&lt;span style=&quot;box-sizing:border-box;font-weight:400;&quot;&gt;&lt;/span&gt;&lt;span style=&quot;box-sizing:border-box;font-weight:400;&quot;&gt;OS: Windows 11 [Version 21H2 (OS Build 22000.675)]&lt;br style=&quot;box-sizing:border-box;&quot;&gt;&lt;/span&gt;&lt;div style=&quot;box-sizing:border-box;font-weight:400;&quot;&gt;Browser: Edge Chromium (102.0.1245.30), Chrome (102.0.5005.63) &lt;/div&gt;&lt;div style=&quot;box-sizing:border-box;font-weight:400;&quot;&gt;&lt;span style=&quot;box-sizing:border-box;&quot;&gt;URL:&amp;nbsp;&lt;a href=&quot;https://apps.preview.powerapps.com/play/e/aa1775d6-89ae-47fb-b2cd-ebeb56163da6/a/347399e1-18ec-4002-aa22-c0285a367aaf?tenantId=72f988bf-86f1-41af-91ab-2d7cd011db47&quot; style=&quot;box-sizing:border-box;text-decoration:underline;&quot;&gt;Onboarding App - Content - Power Apps&lt;/a&gt;&lt;/span&gt;&lt;br style=&quot;box-sizing:border-box;&quot;&gt; &lt;/div&gt;&lt;span style=&quot;box-sizing:border-box;font-weight:400;&quot;&gt;&lt;/span&gt;&lt;div style=&quot;box-sizing:border-box;font-weight:400;&quot;&gt; &lt;/div&gt;&lt;div style=&quot;box-sizing:border-box;font-weight:400;&quot;&gt; &lt;/div&gt;&lt;div style=&quot;box-sizing:border-box;font-weight:400;&quot;&gt;&lt;br style=&quot;box-sizing:border-box;&quot;&gt; &lt;/div&gt;&lt;div style=&quot;box-sizing:border-box;font-weight:400;&quot;&gt;&lt;span style=&quot;box-sizing:border-box;&quot;&gt;&lt;b style=&quot;box-sizing:border-box;&quot;&gt;&lt;/b&gt;&lt;/span&gt; &lt;/div&gt;&lt;p style=&quot;box-sizing:border-box;font-weight:400;margin:0in;&quot;&gt;&lt;span style=&quot;box-sizing:border-box;font-weight:bold;&quot;&gt;Pre-requisite:&lt;/span&gt; &lt;/p&gt;&lt;p style=&quot;box-sizing:border-box;font-weight:400;margin:0in;&quot;&gt;Step 1: Enable Display setting to a scale resolution of&lt;span&gt;&amp;nbsp;&lt;/span&gt;&lt;span style=&quot;box-sizing:border-box;display:inline !important;&quot;&gt;1280&amp;nbsp;&lt;/span&gt;* 1024 and update scaling to 100%. &lt;/p&gt;&lt;p style=&quot;box-sizing:border-box;font-weight:400;margin:0in;&quot;&gt;Step 2: Enable the browser setting to 400% Zoom mode. &lt;/p&gt;&lt;div style=&quot;box-sizing:border-box;font-weight:400;&quot;&gt;&lt;br&gt; &lt;/div&gt;&lt;div style=&quot;box-sizing:border-box;font-weight:400;&quot;&gt; &lt;/div&gt;&lt;div style=&quot;box-sizing:border-box;font-weight:400;&quot;&gt;&lt;p style=&quot;box-sizing:border-box;margin:0in;&quot;&gt;&lt;b style=&quot;box-sizing:border-box;&quot;&gt;Repro Steps:&lt;/b&gt;&lt;br style=&quot;box-sizing:border-box;&quot;&gt; &lt;/p&gt; &lt;/div&gt;&lt;div style=&quot;box-sizing:border-box;font-weight:400;&quot;&gt;&lt;div style=&quot;box-sizing:border-box;&quot;&gt;&lt;div style=&quot;box-sizing:border-box;&quot;&gt;&lt;div style=&quot;box-sizing:border-box;&quot;&gt;&lt;span style=&quot;box-sizing:border-box;&quot;&gt;&lt;div style=&quot;box-sizing:border-box;&quot;&gt; &lt;/div&gt;&lt;div style=&quot;box-sizing:border-box;&quot;&gt; &lt;/div&gt;&lt;div style=&quot;box-sizing:border-box;&quot;&gt; &lt;/div&gt;&lt;div style=&quot;box-sizing:border-box;&quot;&gt;Step 1:&lt;span style=&quot;box-sizing:border-box;&quot;&gt;&amp;nbsp;&lt;/span&gt;&lt;span style=&quot;box-sizing:border-box;color:rgb(36, 36, 36);font-family:-apple-system, BlinkMacSystemFont, &amp;quot;Segoe UI&amp;quot;, &amp;quot;Apple Color Emoji&amp;quot;, &amp;quot;Segoe UI Emoji&amp;quot;, &amp;quot;Segoe UI Web&amp;quot;, sans-serif;display:inline !important;&quot;&gt;Open the above URL in Edge Chromium Browser or chrome browser.&lt;/span&gt;&lt;span style=&quot;box-sizing:border-box;display:inline !important;&quot;&gt;&lt;/span&gt; &lt;/div&gt;&lt;/span&gt; &lt;/div&gt; &lt;/div&gt; &lt;/div&gt; &lt;/div&gt;&lt;div style=&quot;box-sizing:border-box;font-weight:400;&quot;&gt;Step 2: &lt;span style=&quot;display:inline !important;&quot;&gt;'Onboarding App - Content Page - Power Apps' page will appear.&amp;nbsp;&lt;/span&gt; &lt;/div&gt;&lt;div style=&quot;box-sizing:border-box;font-weight:400;&quot;&gt;&lt;div style=&quot;box-sizing:border-box;&quot;&gt;&lt;div style=&quot;box-sizing:border-box;&quot;&gt;&lt;div style=&quot;box-sizing:border-box;&quot;&gt;&lt;span style=&quot;box-sizing:border-box;&quot;&gt;&lt;div style=&quot;box-sizing:border-box;&quot;&gt;Step 3: Navigate to the 'FIlter' and 'Sort' controls. &lt;/div&gt;&lt;/span&gt; &lt;/div&gt; &lt;/div&gt; &lt;/div&gt; &lt;/div&gt;&lt;div&gt;&lt;div&gt;Step 4:&amp;nbsp;Verify whether after resizing the page at 400% zoom, Keyboard focus&amp;nbsp;indicator truncated for 'Filter' and 'Sort' buttons while navigating using tab or shift tab key. or not.&lt;br style=&quot;box-sizing:border-box;&quot;&gt; &lt;/div&gt; &lt;/div&gt;&lt;div style=&quot;box-sizing:border-box;font-weight:400;&quot;&gt;&lt;div style=&quot;box-sizing:border-box;&quot;&gt;&lt;div style=&quot;box-sizing:border-box;&quot;&gt;&lt;div style=&quot;box-sizing:border-box;&quot;&gt;&lt;span style=&quot;box-sizing:border-box;&quot;&gt;&lt;div style=&quot;box-sizing:border-box;&quot;&gt; &lt;/div&gt;&lt;div style=&quot;box-sizing:border-box;&quot;&gt;&lt;span style=&quot;box-sizing:border-box;&quot;&gt;&lt;/span&gt; &lt;/div&gt;&lt;div style=&quot;box-sizing:border-box;&quot;&gt;&lt;span style=&quot;box-sizing:border-box;&quot;&gt;&lt;/span&gt; &lt;/div&gt;&lt;div style=&quot;box-sizing:border-box;&quot;&gt;&lt;span style=&quot;box-sizing:border-box;&quot;&gt;&lt;span style=&quot;box-sizing:border-box;font-family:Calibri, sans-serif;font-size:14.6667px;display:inline !important;&quot;&gt;&lt;span style=&quot;box-sizing:border-box;font-size:14px;display:inline !important;&quot;&gt;&lt;br style=&quot;box-sizing:border-box;&quot;&gt;&lt;/span&gt;&lt;/span&gt;&lt;/span&gt; &lt;/div&gt;&lt;/span&gt; &lt;/div&gt; &lt;/div&gt; &lt;/div&gt; &lt;/div&gt;&lt;div style=&quot;box-sizing:border-box;font-weight:400;&quot;&gt;&lt;div style=&quot;box-sizing:border-box;&quot;&gt;&lt;div style=&quot;box-sizing:border-box;&quot;&gt;&lt;b style=&quot;box-sizing:border-box;&quot;&gt;&lt;/b&gt; &lt;/div&gt; &lt;/div&gt; &lt;/div&gt;&lt;div style=&quot;box-sizing:border-box;font-weight:400;&quot;&gt;&lt;div style=&quot;box-sizing:border-box;&quot;&gt;&lt;div style=&quot;box-sizing:border-box;&quot;&gt;&lt;b style=&quot;box-sizing:border-box;&quot;&gt;Actual Result:&lt;/b&gt;&lt;br style=&quot;box-sizing:border-box;&quot;&gt; &lt;/div&gt; &lt;/div&gt; &lt;/div&gt;&lt;div style=&quot;box-sizing:border-box;font-weight:400;&quot;&gt; &lt;/div&gt;&lt;div style=&quot;box-sizing:border-box;font-weight:400;&quot;&gt;&lt;b style=&quot;box-sizing:border-box;&quot;&gt;&lt;span style=&quot;box-sizing:border-box;display:inline !important;&quot;&gt;&lt;/span&gt;&lt;/b&gt; &lt;/div&gt;&lt;div style=&quot;box-sizing:border-box;font-weight:400;&quot;&gt; &lt;/div&gt;&lt;div style=&quot;box-sizing:border-box;&quot;&gt;&lt;div style=&quot;font-weight:400;box-sizing:border-box;&quot;&gt;After resizing the page at 400% zoom, Keyboard focus indicator truncated for 'Filter' and 'Sort' buttons. &lt;/div&gt;&lt;div style=&quot;box-sizing:border-box;&quot;&gt;&lt;b&gt;Observation: &lt;/b&gt;Keyboard focus indicator is truncated with 'Filter' and 'Sort' icons. So, those are not displaying properly. &lt;/div&gt; &lt;/div&gt;&lt;div&gt;&lt;br&gt; &lt;/div&gt;&lt;div style=&quot;box-sizing:border-box;&quot;&gt;&lt;div style=&quot;box-sizing:border-box;&quot;&gt;&lt;b&gt;Note:&amp;nbsp;&lt;/b&gt;&lt;span&gt;Same issue is observed for the 200 % zoom mode also.&lt;/span&gt;&lt;br&gt; &lt;/div&gt; &lt;/div&gt;&lt;div style=&quot;box-sizing:border-box;&quot;&gt;&lt;br&gt; &lt;/div&gt;&lt;div style=&quot;box-sizing:border-box;&quot;&gt;&lt;div style=&quot;font-weight:400;box-sizing:border-box;&quot;&gt; &lt;/div&gt;&lt;div style=&quot;font-weight:400;box-sizing:border-box;&quot;&gt;&lt;b style=&quot;box-sizing:border-box;&quot;&gt;Expected Result:&lt;br style=&quot;box-sizing:border-box;&quot;&gt;&lt;/b&gt;&lt;div style=&quot;box-sizing:border-box;&quot;&gt;&lt;div style=&quot;box-sizing:border-box;&quot;&gt; &lt;/div&gt; &lt;/div&gt;&lt;span style=&quot;box-sizing:border-box;display:inline !important;&quot;&gt;&lt;/span&gt;&lt;span style=&quot;display:inline !important;&quot;&gt;After resizing the page at 400% zoom, Keyboard focus indicator should not be truncated for 'Filter' and 'Sort' buttons.&lt;/span&gt;&lt;span style=&quot;box-sizing:border-box;display:inline !important;&quot;&gt;&lt;/span&gt; &lt;/div&gt;&lt;div style=&quot;box-sizing:border-box;&quot;&gt;&lt;span style=&quot;box-sizing:border-box;display:inline !important;&quot;&gt;&lt;span style=&quot;display:inline !important;&quot;&gt;&lt;b&gt;Ensure that&lt;/b&gt;, &lt;span style=&quot;display:inline !important;&quot;&gt;'Filter' and 'Sort' buttons display properly with keyboard focus indicator also.&lt;/span&gt;&lt;/span&gt;&lt;/span&gt; &lt;/div&gt;&lt;div style=&quot;box-sizing:border-box;&quot;&gt;&lt;span style=&quot;box-sizing:border-box;display:inline !important;&quot;&gt;&lt;span style=&quot;display:inline !important;&quot;&gt;&lt;br&gt;&lt;/span&gt;&lt;/span&gt; &lt;/div&gt;&lt;div style=&quot;box-sizing:border-box;&quot;&gt; &lt;/div&gt; &lt;/div&gt;&lt;div style=&quot;box-sizing:border-box;font-weight:400;&quot;&gt;&lt;div style=&quot;box-sizing:border-box;&quot;&gt;&lt;div style=&quot;box-sizing:border-box;&quot;&gt;&lt;div style=&quot;box-sizing:border-box;&quot;&gt;&lt;span style=&quot;box-sizing:border-box;font-weight:bold;&quot;&gt;&lt;div style=&quot;box-sizing:border-box;font-weight:400;&quot;&gt;&lt;div style=&quot;box-sizing:border-box;&quot;&gt;&lt;b style=&quot;box-sizing:border-box;&quot;&gt;&lt;/b&gt; &lt;/div&gt;&lt;div style=&quot;box-sizing:border-box;&quot;&gt;&lt;div style=&quot;box-sizing:border-box;font-family:&amp;quot;Segoe UI&amp;quot;, system-ui, &amp;quot;Apple Color Emoji&amp;quot;, &amp;quot;Segoe UI Emoji&amp;quot;, sans-serif;margin:0px 0in;&quot;&gt;&lt;span style=&quot;box-sizing:border-box;&quot;&gt;&lt;b style=&quot;box-sizing:border-box;&quot;&gt;MAS Reference:&lt;/b&gt;&lt;/span&gt; &lt;/div&gt;&lt;div style=&quot;box-sizing:border-box;font-family:&amp;quot;Segoe UI&amp;quot;, system-ui, &amp;quot;Apple Color Emoji&amp;quot;, &amp;quot;Segoe UI Emoji&amp;quot;, sans-serif;margin:0px 0in;&quot;&gt;&lt;span style=&quot;box-sizing:border-box;&quot;&gt;&lt;a href=&quot;https://microsoft.sharepoint.com/:w:/r/sites/accessibility/_layouts/15/Doc.aspx?sourcedoc=%7b01839D9A-2E1B-423E-B7FA-A9BAD43FD301%7d&amp;amp;file=MAS%201.4.10%20%E2%80%93%20Reflow.docx&amp;amp;wdLOR=cE644E791-4BD0-43AB-8EE6-07C443CBDD40&amp;amp;action=default&amp;amp;mobileredirect=true&quot; style=&quot;box-sizing:border-box;text-decoration:underline;cursor:pointer;&quot;&gt;MAS 1.4.10 – Reflow&lt;/a&gt;&lt;br style=&quot;box-sizing:border-box;&quot;&gt;&lt;/span&gt; &lt;/div&gt;&lt;div style=&quot;box-sizing:border-box;font-family:&amp;quot;Segoe UI&amp;quot;, system-ui, &amp;quot;Apple Color Emoji&amp;quot;, &amp;quot;Segoe UI Emoji&amp;quot;, sans-serif;margin:0px 0in;&quot;&gt;&lt;br style=&quot;box-sizing:border-box;&quot;&gt; &lt;/div&gt;&lt;div style=&quot;box-sizing:border-box;font-family:&amp;quot;Segoe UI&amp;quot;, system-ui, &amp;quot;Apple Color Emoji&amp;quot;, &amp;quot;Segoe UI Emoji&amp;quot;, sans-serif;margin:0px 0in;&quot;&gt;&lt;b style=&quot;box-sizing:border-box;&quot;&gt;WCAG Reference:&lt;/b&gt; &lt;/div&gt;&lt;div style=&quot;box-sizing:border-box;font-family:&amp;quot;Segoe UI&amp;quot;, system-ui, &amp;quot;Apple Color Emoji&amp;quot;, &amp;quot;Segoe UI Emoji&amp;quot;, sans-serif;margin:0px 0in;&quot;&gt;&lt;a href=&quot;https://www.w3.org/WAI/WCAG21/Understanding/non-text-content.html&quot; style=&quot;box-sizing:border-box;text-decoration:underline;cursor:pointer;&quot;&gt;&lt;span lang=en-IN style=&quot;box-sizing:border-box;&quot;&gt;&lt;/span&gt;&lt;/a&gt; &lt;/div&gt;&lt;a href=&quot;https://www.w3.org/WAI/WCAG21/Understanding/reflow.html&quot; style=&quot;box-sizing:border-box;text-decoration:underline;cursor:pointer;font-family:&amp;quot;Segoe UI&amp;quot;, system-ui, &amp;quot;Apple Color Emoji&amp;quot;, &amp;quot;Segoe UI Emoji&amp;quot;, sans-serif;&quot;&gt;https://www.w3.org/WAI/WCAG21/Understanding/reflow.html&lt;/a&gt; &lt;/div&gt; &lt;/div&gt;&lt;/span&gt; &lt;/div&gt; &lt;/div&gt; &lt;/div&gt; &lt;/div&gt;"/>
    <s v="Si"/>
    <x v="0"/>
    <s v="William Pena "/>
  </r>
  <r>
    <n v="1517628"/>
    <s v="Bug"/>
    <s v="[Visual Requirement - OLP Power Apps - Content page]: After applying text spacing, the page content in the page is not properly displaying."/>
    <s v="New"/>
    <s v="Enrique Monsalve &lt;v-monsalvee@microsoft.com&gt;"/>
    <s v="No revisado"/>
    <m/>
    <s v="Completado"/>
    <s v="A11y-1STPARTY; A11yMAS; A11yMASP3; CommonScreenReaders; HCL; HCL_OLP - MayJune FY22 New Update; MAS 1.4.12; NewBaselineAssessment; RecID_8303"/>
    <s v="Preguntamos por herramienta de text spacing._x000a__x000a_Después de una reunión con el dos ingenieros de Accessibility, Dipankar y Sudheer. Nos comentaron que si utilizamos la fuente Segoe UI, no deberiamos de tener problema con el tema de text spacing."/>
    <x v="1"/>
    <s v="&lt;div style=&quot;box-sizing:border-box;&quot;&gt;&lt;b&gt;&lt;/b&gt; &lt;/div&gt;&lt;div style=&quot;box-sizing:border-box;font-weight:400;&quot;&gt;&lt;b style=&quot;box-sizing:border-box;&quot;&gt;PWD Impact: -&lt;/b&gt;&lt;br style=&quot;box-sizing:border-box;&quot;&gt; &lt;/div&gt;&lt;div style=&quot;box-sizing:border-box;font-weight:400;&quot;&gt;&lt;span style=&quot;box-sizing:border-box;display:inline !important;&quot;&gt;&lt;span style=&quot;box-sizing:border-box;font-family:&amp;quot;Segoe UI&amp;quot;, sans-serif;display:inline !important;&quot;&gt;&lt;span style=&quot;box-sizing:border-box;display:inline !important;&quot;&gt;&lt;span style=&quot;display:inline !important;&quot;&gt;&lt;span style=&quot;display:inline !important;&quot;&gt;&lt;div style=&quot;box-sizing:border-box;&quot;&gt;&lt;span style=&quot;box-sizing:border-box;display:inline !important;&quot;&gt;&lt;span style=&quot;box-sizing:border-box;display:inline !important;&quot;&gt;&lt;span style=&quot;box-sizing:border-box;display:inline !important;&quot;&gt;&lt;span style=&quot;display:inline !important;&quot;&gt;If page content gets truncated after enabling 'Text Spacing' tool, the visual users will be impacted. The users with low vision using the tool will not be able to access the lost/truncated texts, making the application inaccessible for them.&lt;/span&gt;&lt;/span&gt;&lt;/span&gt;&lt;/span&gt; &lt;/div&gt;&lt;br&gt;&lt;/span&gt;&lt;/span&gt;&lt;/span&gt;&lt;/span&gt;&lt;/span&gt; &lt;/div&gt;&lt;div style=&quot;box-sizing:border-box;font-weight:400;&quot;&gt;&lt;b style=&quot;font-family:&amp;quot;Segoe UI&amp;quot;, sans-serif;&quot;&gt;Test Environment:&lt;/b&gt;&lt;br&gt; &lt;/div&gt;&lt;div style=&quot;box-sizing:border-box;font-weight:400;&quot;&gt;&lt;div style=&quot;box-sizing:border-box;&quot;&gt; &lt;/div&gt; &lt;/div&gt;&lt;div style=&quot;box-sizing:border-box;font-weight:400;&quot;&gt; &lt;/div&gt;&lt;div style=&quot;box-sizing:border-box;font-weight:400;&quot;&gt; &lt;/div&gt;&lt;div style=&quot;box-sizing:border-box;font-weight:400;&quot;&gt; &lt;/div&gt;&lt;div style=&quot;box-sizing:border-box;font-weight:400;&quot;&gt; &lt;/div&gt;&lt;p style=&quot;box-sizing:border-box;font-weight:400;margin:0in;&quot;&gt; &lt;/p&gt;&lt;span style=&quot;box-sizing:border-box;font-weight:400;&quot;&gt;&lt;/span&gt;&lt;span style=&quot;box-sizing:border-box;font-weight:400;&quot;&gt;&lt;/span&gt;&lt;span style=&quot;box-sizing:border-box;font-weight:400;&quot;&gt;OS: Windows 11 [Version 21H2 (OS Build 22000.675)]&lt;br style=&quot;box-sizing:border-box;&quot;&gt;&lt;/span&gt;&lt;div style=&quot;box-sizing:border-box;font-weight:400;&quot;&gt;Browser: Edge Chromium (102.0.1245.30), Chrome (102.0.5005.63)&lt;br style=&quot;box-sizing:border-box;&quot;&gt; &lt;/div&gt;&lt;div style=&quot;box-sizing:border-box;font-weight:400;&quot;&gt;&lt;span style=&quot;color:rgb(36, 36, 36);font-family:-apple-system, BlinkMacSystemFont, &amp;quot;Segoe UI&amp;quot;, &amp;quot;Apple Color Emoji&amp;quot;, &amp;quot;Segoe UI Emoji&amp;quot;, &amp;quot;Segoe UI Web&amp;quot;, sans-serif;display:inline !important;&quot;&gt;Tool: Text spacing&lt;/span&gt; &lt;/div&gt;&lt;div style=&quot;box-sizing:border-box;font-weight:400;&quot;&gt;&lt;span style=&quot;box-sizing:border-box;&quot;&gt;URL:&amp;nbsp;&lt;a href=&quot;https://apps.preview.powerapps.com/play/e/aa1775d6-89ae-47fb-b2cd-ebeb56163da6/a/347399e1-18ec-4002-aa22-c0285a367aaf?tenantId=72f988bf-86f1-41af-91ab-2d7cd011db47&quot;&gt;Onboarding App - Content - Power Apps&lt;/a&gt;&lt;/span&gt;&lt;br style=&quot;box-sizing:border-box;&quot;&gt; &lt;/div&gt;&lt;span style=&quot;box-sizing:border-box;font-weight:400;&quot;&gt;&lt;/span&gt;&lt;div style=&quot;box-sizing:border-box;font-weight:400;&quot;&gt; &lt;/div&gt;&lt;div style=&quot;box-sizing:border-box;font-weight:400;&quot;&gt; &lt;/div&gt;&lt;div style=&quot;box-sizing:border-box;font-weight:400;&quot;&gt;&lt;br style=&quot;box-sizing:border-box;&quot;&gt; &lt;/div&gt;&lt;div&gt;Prerequisite:&amp;nbsp;Add 'Text spacing' tool from the &lt;/div&gt;&lt;div&gt;&lt;div&gt;URL:&amp;nbsp;&lt;a href=&quot;https://www.html5accessibility.com/tests/tsbookmarklet.html&quot;&gt;https://www.html5accessibility.com/tests/tsbookmarklet.html&lt;/a&gt;&amp;nbsp;to the browser. &lt;/div&gt; &lt;/div&gt;&lt;div&gt;&lt;br style=&quot;box-sizing:border-box;&quot;&gt; &lt;/div&gt;&lt;div style=&quot;box-sizing:border-box;font-weight:400;&quot;&gt; &lt;/div&gt;&lt;div style=&quot;box-sizing:border-box;font-weight:400;&quot;&gt;&lt;b&gt;Repro Steps:&lt;/b&gt;&lt;br&gt; &lt;/div&gt;&lt;div style=&quot;box-sizing:border-box;font-weight:400;&quot;&gt;&lt;div style=&quot;box-sizing:border-box;&quot;&gt;&lt;div style=&quot;box-sizing:border-box;&quot;&gt;&lt;div style=&quot;box-sizing:border-box;&quot;&gt;&lt;span style=&quot;box-sizing:border-box;&quot;&gt;&lt;div style=&quot;box-sizing:border-box;&quot;&gt; &lt;/div&gt;&lt;div style=&quot;box-sizing:border-box;&quot;&gt; &lt;/div&gt;&lt;div style=&quot;box-sizing:border-box;&quot;&gt; &lt;/div&gt;&lt;div style=&quot;box-sizing:border-box;&quot;&gt;Step 1:&lt;span style=&quot;box-sizing:border-box;&quot;&gt;&amp;nbsp;&lt;/span&gt;&lt;span style=&quot;box-sizing:border-box;color:rgb(36, 36, 36);font-family:-apple-system, BlinkMacSystemFont, &amp;quot;Segoe UI&amp;quot;, &amp;quot;Apple Color Emoji&amp;quot;, &amp;quot;Segoe UI Emoji&amp;quot;, &amp;quot;Segoe UI Web&amp;quot;, sans-serif;display:inline !important;&quot;&gt;Open the above URL in Edge Chromium Browser or chrome browser.&lt;/span&gt;&lt;span style=&quot;box-sizing:border-box;display:inline !important;&quot;&gt;&lt;/span&gt; &lt;/div&gt;&lt;/span&gt; &lt;/div&gt; &lt;/div&gt; &lt;/div&gt; &lt;/div&gt;&lt;div&gt;Step 2: 'Onboarding App - Content - Power Apps' page will appear.&amp;nbsp; &lt;/div&gt;&lt;div&gt;&lt;div&gt;Step 3: Enable text spacing tool in the page. &lt;/div&gt; &lt;/div&gt;&lt;div style=&quot;box-sizing:border-box;font-weight:400;&quot;&gt;&lt;div style=&quot;box-sizing:border-box;&quot;&gt;&lt;div style=&quot;box-sizing:border-box;&quot;&gt;&lt;div style=&quot;box-sizing:border-box;&quot;&gt;&lt;span style=&quot;box-sizing:border-box;&quot;&gt;&lt;div style=&quot;box-sizing:border-box;&quot;&gt;&lt;span style=&quot;box-sizing:border-box;&quot;&gt;&lt;span style=&quot;box-sizing:border-box;&quot;&gt;Step 4:&lt;span style=&quot;box-sizing:border-box;&quot;&gt;&amp;nbsp;Verify whether &lt;/span&gt;&lt;/span&gt;page content is displaying properly or not.&lt;br style=&quot;box-sizing:border-box;&quot;&gt;&lt;/span&gt; &lt;/div&gt;&lt;div style=&quot;box-sizing:border-box;&quot;&gt;&lt;span style=&quot;box-sizing:border-box;&quot;&gt;&lt;/span&gt; &lt;/div&gt;&lt;div style=&quot;box-sizing:border-box;&quot;&gt;&lt;span style=&quot;box-sizing:border-box;&quot;&gt;&lt;/span&gt; &lt;/div&gt;&lt;div style=&quot;box-sizing:border-box;&quot;&gt;&lt;span style=&quot;box-sizing:border-box;&quot;&gt;&lt;span style=&quot;box-sizing:border-box;font-family:Calibri, sans-serif;font-size:14.6667px;display:inline !important;&quot;&gt;&lt;span style=&quot;box-sizing:border-box;font-size:14px;display:inline !important;&quot;&gt;&lt;br style=&quot;box-sizing:border-box;&quot;&gt;&lt;/span&gt;&lt;/span&gt;&lt;/span&gt; &lt;/div&gt;&lt;/span&gt; &lt;/div&gt; &lt;/div&gt; &lt;/div&gt; &lt;/div&gt;&lt;div style=&quot;box-sizing:border-box;font-weight:400;&quot;&gt;&lt;div style=&quot;box-sizing:border-box;&quot;&gt;&lt;div style=&quot;box-sizing:border-box;&quot;&gt;&lt;b style=&quot;box-sizing:border-box;&quot;&gt;&lt;/b&gt; &lt;/div&gt; &lt;/div&gt; &lt;/div&gt;&lt;div style=&quot;box-sizing:border-box;font-weight:400;&quot;&gt;&lt;div style=&quot;box-sizing:border-box;&quot;&gt;&lt;div style=&quot;box-sizing:border-box;&quot;&gt;&lt;b style=&quot;box-sizing:border-box;&quot;&gt;Actual Result:&lt;/b&gt;&lt;br style=&quot;box-sizing:border-box;&quot;&gt; &lt;/div&gt; &lt;/div&gt; &lt;/div&gt;&lt;div style=&quot;box-sizing:border-box;font-weight:400;&quot;&gt; &lt;/div&gt;&lt;div style=&quot;box-sizing:border-box;font-weight:400;&quot;&gt;&lt;b style=&quot;box-sizing:border-box;&quot;&gt;&lt;span style=&quot;box-sizing:border-box;display:inline !important;&quot;&gt;&lt;/span&gt;&lt;/b&gt; &lt;/div&gt;&lt;div style=&quot;box-sizing:border-box;font-weight:400;&quot;&gt; &lt;/div&gt;&lt;div style=&quot;box-sizing:border-box;&quot;&gt;&lt;div style=&quot;font-weight:400;box-sizing:border-box;&quot;&gt;&lt;span style=&quot;display:inline !important;&quot;&gt;After applying text spacing, the page content is not properly visible.&lt;/span&gt; &lt;/div&gt;&lt;div style=&quot;box-sizing:border-box;&quot;&gt;&lt;b&gt;Observation:&lt;/b&gt; &lt;/div&gt;&lt;div style=&quot;box-sizing:border-box;&quot;&gt;1.'Onboarding App' text, 'Browse' control, 'Customer account success manager' text, 'Collapse all' control, 'Filter' controls are getting truncated. &lt;/div&gt; &lt;/div&gt;&lt;div&gt;2.&amp;nbsp;&lt;span style=&quot;display:inline !important;&quot;&gt;Course related tiles get displayed on right side area, after activating&amp;nbsp;&lt;/span&gt;&lt;span style=&quot;box-sizing:border-box;line-height:1.5 !important;display:inline !important;&quot;&gt;'&lt;/span&gt;&lt;span style=&quot;box-sizing:border-box;line-height:1.5 !important;display:inline !important;&quot;&gt;Customer activities' from the left panel. 'CSA' text is getting truncated for 'Customer Engagement as a cloud solution Architect (CSA)' tile.&amp;nbsp;&lt;/span&gt; &lt;/div&gt;&lt;div&gt;3. Course related tiles get displayed on right side area, after activating&amp;nbsp;&lt;span style=&quot;display:inline !important;&quot;&gt;'&lt;/span&gt;&lt;span style=&quot;display:inline !important;&quot;&gt;Success as a Cloud Solution Architect' from left panel. 'UAT' text getting truncated for 'Seeking help through unified action tracker' tile.&amp;nbsp;&lt;/span&gt; &lt;/div&gt;&lt;div&gt;&lt;span style=&quot;display:inline !important;&quot;&gt;4.Filter: Modality, Duration control are getting truncated.&amp;nbsp;&lt;/span&gt; &lt;/div&gt;&lt;div&gt;&lt;span style=&quot;display:inline !important;&quot;&gt;The 'Clear All' field is getting truncated with its border.&lt;/span&gt; &lt;/div&gt;&lt;div style=&quot;box-sizing:border-box;&quot;&gt;&lt;br&gt; &lt;/div&gt;&lt;div style=&quot;box-sizing:border-box;&quot;&gt;&lt;div style=&quot;font-weight:400;box-sizing:border-box;&quot;&gt; &lt;/div&gt;&lt;div style=&quot;box-sizing:border-box;&quot;&gt;&lt;b style=&quot;box-sizing:border-box;&quot;&gt;Expected Result:&lt;br style=&quot;box-sizing:border-box;&quot;&gt;&lt;/b&gt;&lt;div style=&quot;font-weight:400;box-sizing:border-box;&quot;&gt;&lt;div style=&quot;box-sizing:border-box;&quot;&gt;&lt;span style=&quot;display:inline !important;&quot;&gt;&lt;/span&gt; &lt;/div&gt; &lt;/div&gt;&lt;div style=&quot;box-sizing:border-box;&quot;&gt;&lt;div style=&quot;box-sizing:border-box;&quot;&gt; &lt;/div&gt; &lt;/div&gt; &lt;/div&gt; &lt;/div&gt;&lt;span style=&quot;display:inline !important;&quot;&gt;After applying text spacing, the page content should be properly visible.&lt;/span&gt;&lt;div&gt;Ex:&lt;div style=&quot;box-sizing:border-box;&quot;&gt;&lt;div style=&quot;box-sizing:border-box;&quot;&gt;1.'Onboarding App' text, 'Browse' control, 'Customer account success manager' text, 'Collapse all' control, 'Filter' controls should not get truncated. &lt;/div&gt; &lt;/div&gt;&lt;div style=&quot;box-sizing:border-box;&quot;&gt;2.&amp;nbsp;&lt;span style=&quot;box-sizing:border-box;display:inline !important;&quot;&gt;Course related tiles get displayed on right side area, after activating&amp;nbsp;&lt;/span&gt;&lt;span style=&quot;box-sizing:border-box;line-height:1.5 !important;display:inline !important;&quot;&gt;'&lt;/span&gt;&lt;span style=&quot;box-sizing:border-box;line-height:1.5 !important;display:inline !important;&quot;&gt;Customer activities' from the left panel. 'CSA' text&amp;nbsp;&lt;span style=&quot;display:inline !important;&quot;&gt;should not get&lt;/span&gt; truncated for 'Customer Engagement as a cloud solution Architect (CSA)' tile.&amp;nbsp;&lt;/span&gt; &lt;/div&gt;&lt;div style=&quot;box-sizing:border-box;&quot;&gt;3. Course related tiles get displayed on right side area, after activating&amp;nbsp;&lt;span style=&quot;box-sizing:border-box;display:inline !important;&quot;&gt;'&lt;/span&gt;&lt;span style=&quot;box-sizing:border-box;display:inline !important;&quot;&gt;Success as a Cloud Solution Architect' from left panel. 'UAT' text &lt;span style=&quot;display:inline !important;&quot;&gt;should not get&lt;/span&gt;&amp;nbsp;truncated for 'Seeking help through unified action tracker' tile.&amp;nbsp;&lt;/span&gt; &lt;/div&gt;&lt;div style=&quot;box-sizing:border-box;&quot;&gt;&lt;span style=&quot;box-sizing:border-box;display:inline !important;&quot;&gt;4.Filter: Modality, Duration control &lt;span style=&quot;display:inline !important;&quot;&gt;should not get&lt;/span&gt; truncated.&amp;nbsp;&lt;/span&gt; &lt;/div&gt;&lt;div style=&quot;box-sizing:border-box;&quot;&gt;&lt;span style=&quot;box-sizing:border-box;display:inline !important;&quot;&gt;The 'Clear All' field &lt;span style=&quot;display:inline !important;&quot;&gt;should not get&lt;/span&gt; truncated with its border.&lt;/span&gt; &lt;/div&gt;&lt;div style=&quot;box-sizing:border-box;&quot;&gt;&lt;br style=&quot;box-sizing:border-box;&quot;&gt; &lt;/div&gt;&lt;div style=&quot;box-sizing:border-box;&quot;&gt;&lt;div style=&quot;box-sizing:border-box;&quot;&gt;&lt;div style=&quot;box-sizing:border-box;&quot;&gt;&lt;div style=&quot;box-sizing:border-box;&quot;&gt;&lt;b style=&quot;font-family:&amp;quot;Segoe UI&amp;quot;, system-ui, &amp;quot;Apple Color Emoji&amp;quot;, &amp;quot;Segoe UI Emoji&amp;quot;, sans-serif;&quot;&gt;MAS Reference:&lt;/b&gt;&lt;br&gt; &lt;/div&gt; &lt;/div&gt; &lt;/div&gt; &lt;/div&gt;&lt;div style=&quot;box-sizing:border-box;font-weight:400;&quot;&gt;&lt;div style=&quot;box-sizing:border-box;&quot;&gt;&lt;div style=&quot;box-sizing:border-box;&quot;&gt;&lt;div style=&quot;box-sizing:border-box;&quot;&gt;&lt;span style=&quot;box-sizing:border-box;font-weight:bold;&quot;&gt;&lt;div style=&quot;box-sizing:border-box;font-weight:400;&quot;&gt;&lt;div style=&quot;box-sizing:border-box;&quot;&gt;&lt;div style=&quot;box-sizing:border-box;&quot;&gt;&lt;span style=&quot;box-sizing:border-box;font-weight:bold;&quot;&gt;&lt;div style=&quot;box-sizing:border-box;font-weight:400;&quot;&gt;&lt;div style=&quot;box-sizing:border-box;font-family:&amp;quot;Segoe UI&amp;quot;, system-ui, &amp;quot;Apple Color Emoji&amp;quot;, &amp;quot;Segoe UI Emoji&amp;quot;, sans-serif;&quot;&gt;&lt;a href=&quot;https://apc01.safelinks.protection.outlook.com/ap/w-59584e83/?url=https://microsoft.sharepoint.com/:w:/r/teams/msenable/_layouts/15/Doc.aspx?sourcedoc%3D%257B645DCC70-F94C-462D-A91E-10DBE9E5C946%257D%26file%3DMAS%25201.4.12%2520%25E2%2580%2593%2520Text%2520Spacing.docx%26action%3Ddefault%26mobileredirect%3Dtrue&amp;amp;data=02%7c01%7cnikhat.p%40hcl.com%7cac7258025bec4bc4674f08d72bb0565f%7c189de737c93a4f5a8b686f4ca9941912%7c0%7c0%7c637025908744329596&amp;amp;sdata=Afg%2BvrYwUwBgRjV/R5xwWCwHfSTMLAr074jD/5HEoTg%3D&amp;amp;reserved=0&quot; style=&quot;box-sizing:border-box;text-decoration:underline;cursor:pointer;&quot;&gt;MAS 1.4.12 - Text Spacing&lt;/a&gt; &lt;/div&gt;&lt;div style=&quot;box-sizing:border-box;font-family:&amp;quot;Segoe UI&amp;quot;, system-ui, &amp;quot;Apple Color Emoji&amp;quot;, &amp;quot;Segoe UI Emoji&amp;quot;, sans-serif;&quot;&gt;&lt;br style=&quot;box-sizing:border-box;&quot;&gt; &lt;/div&gt;&lt;div style=&quot;box-sizing:border-box;font-family:&amp;quot;Segoe UI&amp;quot;, system-ui, &amp;quot;Apple Color Emoji&amp;quot;, &amp;quot;Segoe UI Emoji&amp;quot;, sans-serif;&quot;&gt;&lt;b style=&quot;box-sizing:border-box;&quot;&gt;WCAG Reference Link:&amp;nbsp;&lt;/b&gt;&amp;nbsp; &lt;/div&gt;&lt;div style=&quot;box-sizing:border-box;font-family:&amp;quot;Segoe UI&amp;quot;, system-ui, &amp;quot;Apple Color Emoji&amp;quot;, &amp;quot;Segoe UI Emoji&amp;quot;, sans-serif;&quot;&gt;&lt;a href=&quot;https://www.w3.org/WAI/WCAG21/Understanding/text-spacing.html&quot; style=&quot;box-sizing:border-box;text-decoration:underline;cursor:pointer;&quot;&gt;https://www.w3.org/WAI/WCAG21/Understanding/text-spacing.html&lt;/a&gt; &lt;/div&gt; &lt;/div&gt;&lt;/span&gt; &lt;/div&gt; &lt;/div&gt; &lt;/div&gt;&lt;/span&gt; &lt;/div&gt; &lt;/div&gt; &lt;/div&gt; &lt;/div&gt; &lt;/div&gt;"/>
    <s v="Si"/>
    <x v="0"/>
    <s v="Enrique Monsalve "/>
  </r>
  <r>
    <n v="1517638"/>
    <s v="Bug"/>
    <s v="[Screen Readers - OLP Power Apps - Content page]: Screen Readers (NVDA/JAWS) are narrating incorrect name for ‘Microsoft’ logo as 'organizational logo' in the page, while navigating using Browse/VPC mode."/>
    <s v="Pending w/ dependency"/>
    <s v="Enrique Monsalve &lt;v-monsalvee@microsoft.com&gt;"/>
    <s v="No revisado"/>
    <m/>
    <s v="Completado"/>
    <s v="A11y-1STPARTY; A11yMAS; A11yMASP3; CommonScreenReaders; HCL; HCL_OLP - MayJune FY22 New Update; MAS 1.3.1; NewBaselineAssessment; RecID_8303"/>
    <s v="No tiene nada que ver con la canvas app."/>
    <x v="1"/>
    <s v="&lt;div style=&quot;box-sizing:border-box;&quot;&gt;&lt;b&gt;&lt;/b&gt; &lt;/div&gt;&lt;div style=&quot;box-sizing:border-box;font-weight:400;&quot;&gt;&lt;b style=&quot;box-sizing:border-box;&quot;&gt;PWD Impact: -&lt;/b&gt;&lt;br style=&quot;box-sizing:border-box;&quot;&gt; &lt;/div&gt;&lt;div style=&quot;box-sizing:border-box;font-weight:400;&quot;&gt;&lt;span style=&quot;box-sizing:border-box;display:inline !important;&quot;&gt;&lt;span style=&quot;box-sizing:border-box;font-family:&amp;quot;Segoe UI&amp;quot;, sans-serif;display:inline !important;&quot;&gt;&lt;span style=&quot;box-sizing:border-box;display:inline !important;&quot;&gt;&lt;span style=&quot;display:inline !important;&quot;&gt;&lt;span style=&quot;display:inline !important;&quot;&gt;Visually challenged users who rely&amp;nbsp;on screen readers will be impacted as&amp;nbsp;Screen Readers (NVDA/JAWS) is narrating incorrect name for ‘Microsoft logo’ in the page, while navigating using Browse/Curser mode.&lt;/span&gt;&lt;/span&gt;&lt;/span&gt;&lt;/span&gt;&lt;/span&gt; &lt;/div&gt;&lt;div style=&quot;box-sizing:border-box;font-weight:400;&quot;&gt;&lt;br style=&quot;box-sizing:border-box;&quot;&gt; &lt;/div&gt;&lt;div style=&quot;box-sizing:border-box;font-weight:400;&quot;&gt;&lt;div style=&quot;box-sizing:border-box;&quot;&gt; &lt;/div&gt;&lt;div style=&quot;box-sizing:border-box;&quot;&gt;&lt;b style=&quot;box-sizing:border-box;font-family:&amp;quot;Segoe UI&amp;quot;, sans-serif;&quot;&gt;Test Environment:&lt;/b&gt;&lt;br style=&quot;box-sizing:border-box;&quot;&gt; &lt;/div&gt;&lt;div style=&quot;box-sizing:border-box;&quot;&gt; &lt;/div&gt; &lt;/div&gt;&lt;div style=&quot;box-sizing:border-box;font-weight:400;&quot;&gt; &lt;/div&gt;&lt;div style=&quot;box-sizing:border-box;font-weight:400;&quot;&gt; &lt;/div&gt;&lt;div style=&quot;box-sizing:border-box;font-weight:400;&quot;&gt; &lt;/div&gt;&lt;div style=&quot;box-sizing:border-box;font-weight:400;&quot;&gt; &lt;/div&gt;&lt;p style=&quot;box-sizing:border-box;font-weight:400;margin:0in;&quot;&gt; &lt;/p&gt;&lt;span style=&quot;box-sizing:border-box;font-weight:400;&quot;&gt;&lt;/span&gt;&lt;span style=&quot;box-sizing:border-box;font-weight:400;&quot;&gt;&lt;/span&gt;&lt;span style=&quot;box-sizing:border-box;font-weight:400;&quot;&gt;OS: Windows 11 [Version 21H2 (OS Build 22000.675)]&lt;br style=&quot;box-sizing:border-box;&quot;&gt;&lt;/span&gt;&lt;div style=&quot;box-sizing:border-box;font-weight:400;&quot;&gt;Browser: Edge Chromium (102.0.1245.30), Chrome (102.0.5005.63)&lt;br style=&quot;box-sizing:border-box;&quot;&gt; &lt;/div&gt;&lt;div style=&quot;box-sizing:border-box;font-weight:400;&quot;&gt;Screen readers: NVDA (2022.1), JAWS (2022.2204.20) &lt;/div&gt;&lt;div style=&quot;box-sizing:border-box;font-weight:400;&quot;&gt;&lt;span style=&quot;box-sizing:border-box;&quot;&gt;URL:&amp;nbsp;&lt;a href=&quot;https://apps.preview.powerapps.com/play/e/aa1775d6-89ae-47fb-b2cd-ebeb56163da6/a/347399e1-18ec-4002-aa22-c0285a367aaf?tenantId=72f988bf-86f1-41af-91ab-2d7cd011db47&quot;&gt;Onboarding App - Content - Power Apps&lt;/a&gt;&lt;/span&gt;&lt;br style=&quot;box-sizing:border-box;&quot;&gt; &lt;/div&gt;&lt;span style=&quot;box-sizing:border-box;font-weight:400;&quot;&gt;&lt;/span&gt;&lt;div style=&quot;box-sizing:border-box;font-weight:400;&quot;&gt; &lt;/div&gt;&lt;div style=&quot;box-sizing:border-box;font-weight:400;&quot;&gt; &lt;/div&gt;&lt;div style=&quot;box-sizing:border-box;font-weight:400;&quot;&gt;&lt;br style=&quot;box-sizing:border-box;&quot;&gt; &lt;/div&gt;&lt;div style=&quot;box-sizing:border-box;font-weight:400;&quot;&gt;&lt;span style=&quot;box-sizing:border-box;&quot;&gt;&lt;b style=&quot;box-sizing:border-box;&quot;&gt;Prerequisite:&lt;/b&gt;&lt;/span&gt; &lt;/div&gt;&lt;div style=&quot;box-sizing:border-box;font-weight:400;&quot;&gt;&lt;span style=&quot;box-sizing:border-box;&quot;&gt;Turn on NVDA/JAWS. Enable browse mode using 'insert+space'/'insert+Z' key.&lt;/span&gt;&lt;span style=&quot;box-sizing:border-box;&quot;&gt;&lt;b style=&quot;box-sizing:border-box;&quot;&gt;&lt;br style=&quot;box-sizing:border-box;&quot;&gt;&lt;/b&gt;&lt;/span&gt; &lt;/div&gt;&lt;div style=&quot;box-sizing:border-box;font-weight:400;&quot;&gt;&lt;span style=&quot;box-sizing:border-box;&quot;&gt;&lt;br style=&quot;box-sizing:border-box;&quot;&gt;&lt;/span&gt; &lt;/div&gt;&lt;div style=&quot;box-sizing:border-box;font-weight:400;&quot;&gt;&lt;p style=&quot;box-sizing:border-box;margin:0in;&quot;&gt;&lt;b style=&quot;box-sizing:border-box;&quot;&gt;Repro Steps:&lt;/b&gt;&lt;br style=&quot;box-sizing:border-box;&quot;&gt; &lt;/p&gt; &lt;/div&gt;&lt;div style=&quot;box-sizing:border-box;font-weight:400;&quot;&gt;&lt;div style=&quot;box-sizing:border-box;&quot;&gt;&lt;div style=&quot;box-sizing:border-box;&quot;&gt;&lt;div style=&quot;box-sizing:border-box;&quot;&gt;&lt;span style=&quot;box-sizing:border-box;&quot;&gt;&lt;div style=&quot;box-sizing:border-box;&quot;&gt; &lt;/div&gt;&lt;div style=&quot;box-sizing:border-box;&quot;&gt; &lt;/div&gt;&lt;div style=&quot;box-sizing:border-box;&quot;&gt; &lt;/div&gt;&lt;div style=&quot;box-sizing:border-box;&quot;&gt;Step 1:&lt;span style=&quot;box-sizing:border-box;&quot;&gt;&amp;nbsp;&lt;/span&gt;&lt;span style=&quot;box-sizing:border-box;color:rgb(36, 36, 36);font-family:-apple-system, BlinkMacSystemFont, &amp;quot;Segoe UI&amp;quot;, &amp;quot;Apple Color Emoji&amp;quot;, &amp;quot;Segoe UI Emoji&amp;quot;, &amp;quot;Segoe UI Web&amp;quot;, sans-serif;display:inline !important;&quot;&gt;Open the above URL in Edge Chromium Browser or chrome browser.&lt;/span&gt;&lt;span style=&quot;box-sizing:border-box;display:inline !important;&quot;&gt;&lt;/span&gt; &lt;/div&gt;&lt;/span&gt; &lt;/div&gt; &lt;/div&gt; &lt;/div&gt; &lt;/div&gt;&lt;div&gt;Step 2: 'Onboarding App - Content - Power Apps' page will appear.&amp;nbsp; &lt;/div&gt;&lt;div style=&quot;box-sizing:border-box;font-weight:400;&quot;&gt;&lt;div style=&quot;box-sizing:border-box;&quot;&gt;&lt;div style=&quot;box-sizing:border-box;&quot;&gt;&lt;div style=&quot;box-sizing:border-box;&quot;&gt;&lt;span style=&quot;box-sizing:border-box;&quot;&gt;&lt;div style=&quot;box-sizing:border-box;&quot;&gt;Step 3: &lt;span style=&quot;display:inline !important;&quot;&gt;Navigate to the ‘Microsoft’ logo using Browse/VPC mode.&lt;/span&gt; &lt;/div&gt;&lt;div style=&quot;box-sizing:border-box;&quot;&gt;&lt;span style=&quot;box-sizing:border-box;&quot;&gt;&lt;span style=&quot;box-sizing:border-box;&quot;&gt;Step 4:&lt;span style=&quot;box-sizing:border-box;&quot;&gt;&amp;nbsp;&lt;/span&gt;&lt;/span&gt;&lt;span style=&quot;display:inline !important;&quot;&gt;Verify whether Screen readers (NVD/JAWS) are narrating correct name for ‘Microsoft’ logo or&lt;/span&gt;&amp;nbsp;not.&lt;br style=&quot;box-sizing:border-box;&quot;&gt;&lt;/span&gt; &lt;/div&gt;&lt;div style=&quot;box-sizing:border-box;&quot;&gt;&lt;span style=&quot;box-sizing:border-box;&quot;&gt;&lt;/span&gt; &lt;/div&gt;&lt;div style=&quot;box-sizing:border-box;&quot;&gt;&lt;span style=&quot;box-sizing:border-box;&quot;&gt;&lt;/span&gt; &lt;/div&gt;&lt;div style=&quot;box-sizing:border-box;&quot;&gt;&lt;span style=&quot;box-sizing:border-box;&quot;&gt;&lt;span style=&quot;box-sizing:border-box;font-family:Calibri, sans-serif;font-size:14.6667px;display:inline !important;&quot;&gt;&lt;span style=&quot;box-sizing:border-box;font-size:14px;display:inline !important;&quot;&gt;&lt;br style=&quot;box-sizing:border-box;&quot;&gt;&lt;/span&gt;&lt;/span&gt;&lt;/span&gt; &lt;/div&gt;&lt;/span&gt; &lt;/div&gt; &lt;/div&gt; &lt;/div&gt; &lt;/div&gt;&lt;div style=&quot;box-sizing:border-box;font-weight:400;&quot;&gt;&lt;div style=&quot;box-sizing:border-box;&quot;&gt;&lt;div style=&quot;box-sizing:border-box;&quot;&gt;&lt;b style=&quot;box-sizing:border-box;&quot;&gt;&lt;/b&gt; &lt;/div&gt; &lt;/div&gt; &lt;/div&gt;&lt;div style=&quot;box-sizing:border-box;font-weight:400;&quot;&gt;&lt;div style=&quot;box-sizing:border-box;&quot;&gt;&lt;div style=&quot;box-sizing:border-box;&quot;&gt;&lt;b style=&quot;box-sizing:border-box;&quot;&gt;Actual Result:&lt;/b&gt;&lt;br style=&quot;box-sizing:border-box;&quot;&gt; &lt;/div&gt; &lt;/div&gt; &lt;/div&gt;&lt;div style=&quot;box-sizing:border-box;font-weight:400;&quot;&gt; &lt;/div&gt;&lt;div style=&quot;box-sizing:border-box;font-weight:400;&quot;&gt;&lt;b style=&quot;box-sizing:border-box;&quot;&gt;&lt;span style=&quot;box-sizing:border-box;display:inline !important;&quot;&gt;&lt;/span&gt;&lt;/b&gt; &lt;/div&gt;&lt;div style=&quot;box-sizing:border-box;font-weight:400;&quot;&gt; &lt;/div&gt;&lt;div style=&quot;box-sizing:border-box;&quot;&gt;&lt;div style=&quot;font-weight:400;box-sizing:border-box;&quot;&gt; &lt;/div&gt; &lt;/div&gt;&lt;div style=&quot;box-sizing:border-box;&quot;&gt;Screen Readers (NVDA/JAWS) are narrating incorrect name for ‘Microsoft’ logo as 'organizational logo' in the page, while navigating using Browse/VPC mode. &lt;/div&gt;&lt;div style=&quot;box-sizing:border-box;&quot;&gt;&lt;b style=&quot;box-sizing:border-box;&quot;&gt;Observation:&lt;/b&gt;&lt;span&gt;&amp;nbsp;&lt;/span&gt;When screen readers focus is on ‘Microsoft’ logo, screen readers are narrating as ‘link&amp;nbsp;&lt;span style=&quot;color:rgb(36, 36, 36);font-family:-apple-system, BlinkMacSystemFont, &amp;quot;Segoe UI&amp;quot;, system-ui, &amp;quot;Apple Color Emoji&amp;quot;, &amp;quot;Segoe UI Emoji&amp;quot;, &amp;quot;Segoe UI Web&amp;quot;, sans-serif;font-size:14.6667px;display:inline !important;&quot;&gt;organizational logo&lt;/span&gt;’. &lt;/div&gt;&lt;div style=&quot;box-sizing:border-box;font-weight:400;&quot;&gt;&lt;br style=&quot;box-sizing:border-box;&quot;&gt; &lt;/div&gt;&lt;div style=&quot;box-sizing:border-box;&quot;&gt;&lt;div style=&quot;font-weight:400;box-sizing:border-box;&quot;&gt; &lt;/div&gt;&lt;div style=&quot;box-sizing:border-box;&quot;&gt;&lt;b style=&quot;box-sizing:border-box;&quot;&gt;Expected Result:&lt;br style=&quot;box-sizing:border-box;&quot;&gt;&lt;/b&gt;&lt;div style=&quot;font-weight:400;box-sizing:border-box;&quot;&gt;&lt;div style=&quot;box-sizing:border-box;&quot;&gt;&lt;span style=&quot;display:inline !important;&quot;&gt;&lt;span style=&quot;display:inline !important;&quot;&gt;Screen Readers (NVDA/JAWS) should not narrate incorrect name for ‘Microsoft’ logo as 'organizational logo' in the page, while navigating using Browse/VPC mode.&lt;/span&gt;&lt;/span&gt; &lt;/div&gt; &lt;/div&gt;&lt;div style=&quot;box-sizing:border-box;&quot;&gt;&lt;div style=&quot;box-sizing:border-box;&quot;&gt;&lt;b&gt;Ex: &lt;/b&gt;S&lt;span style=&quot;font-weight:400;display:inline !important;&quot;&gt;creen readers focus is on ‘Microsoft’ logo, screen readers should narrate as ‘link Microsoft logo’.&lt;/span&gt; &lt;/div&gt;&lt;div style=&quot;box-sizing:border-box;&quot;&gt;&lt;span style=&quot;box-sizing:border-box;display:inline !important;&quot;&gt;&lt;br&gt;&lt;/span&gt; &lt;/div&gt; &lt;/div&gt; &lt;/div&gt; &lt;/div&gt;&lt;div style=&quot;box-sizing:border-box;font-weight:400;&quot;&gt;&lt;div style=&quot;box-sizing:border-box;&quot;&gt;&lt;div style=&quot;box-sizing:border-box;&quot;&gt;&lt;div style=&quot;box-sizing:border-box;&quot;&gt;&lt;span style=&quot;box-sizing:border-box;font-weight:bold;&quot;&gt;&lt;div style=&quot;box-sizing:border-box;font-weight:400;&quot;&gt;&lt;div style=&quot;box-sizing:border-box;&quot;&gt;&lt;b style=&quot;box-sizing:border-box;&quot;&gt;MAS Reference Link:&lt;/b&gt; &lt;/div&gt;&lt;div style=&quot;box-sizing:border-box;&quot;&gt;&lt;a href=&quot;https://microsoft.sharepoint.com/teams/msenable/_layouts/15/WopiFrame.aspx?sourcedoc=%7b54f28d1f-a2d1-4dcd-84e1-5c9b87e8aba4%7d&quot; style=&quot;box-sizing:border-box;text-decoration:underline;cursor:pointer;&quot;&gt;MAS 1.3.1 - Info and Relationships&lt;/a&gt; &lt;/div&gt;&lt;div style=&quot;box-sizing:border-box;&quot;&gt;&amp;nbsp; &lt;/div&gt;&lt;div style=&quot;box-sizing:border-box;&quot;&gt;&lt;b style=&quot;box-sizing:border-box;&quot;&gt;WCAG Reference Link:&lt;/b&gt; &lt;/div&gt;&lt;div style=&quot;box-sizing:border-box;&quot;&gt;&lt;a href=&quot;https://www.w3.org/WAI/WCAG21/Understanding/info-and-relationships.html&quot; style=&quot;box-sizing:border-box;text-decoration:underline;cursor:pointer;&quot;&gt;https://www.w3.org/WAI/WCAG21/Understanding/info-and-relationships.html&lt;/a&gt; &lt;/div&gt; &lt;/div&gt;&lt;/span&gt; &lt;/div&gt; &lt;/div&gt; &lt;/div&gt; &lt;/div&gt;"/>
    <s v="Si"/>
    <x v="0"/>
    <s v="Enrique Monsalve "/>
  </r>
  <r>
    <n v="1517884"/>
    <s v="Bug"/>
    <s v="[Screen Readers - OLP Power Apps - Content page]: Screen readers focus is not in sequential order on the page while navigating using arrow keys in browse/VPC mode."/>
    <s v="New"/>
    <s v="Enrique Monsalve &lt;v-monsalvee@microsoft.com&gt;"/>
    <s v="No revisado"/>
    <m/>
    <s v="Completado"/>
    <s v="A11y-1STPARTY; A11yMAS; A11yMASP3; CommonScreenReaders; HCL; HCL_OLP - MayJune FY22 New Update; MAS 4.2.10; NewBaselineAssessment; RecID_8303"/>
    <m/>
    <x v="1"/>
    <s v="&lt;div style=&quot;box-sizing:border-box;&quot;&gt;&lt;b&gt;&lt;/b&gt; &lt;/div&gt;&lt;div style=&quot;box-sizing:border-box;font-weight:400;&quot;&gt;&lt;b style=&quot;box-sizing:border-box;&quot;&gt;PWD Impact: -&lt;/b&gt;&lt;br style=&quot;box-sizing:border-box;&quot;&gt; &lt;/div&gt;&lt;div style=&quot;box-sizing:border-box;font-weight:400;&quot;&gt;&lt;span style=&quot;box-sizing:border-box;display:inline !important;&quot;&gt;&lt;span style=&quot;box-sizing:border-box;font-family:&amp;quot;Segoe UI&amp;quot;, sans-serif;display:inline !important;&quot;&gt;&lt;span style=&quot;box-sizing:border-box;display:inline !important;&quot;&gt;&lt;span style=&quot;display:inline !important;&quot;&gt;&lt;span style=&quot;display:inline !important;&quot;&gt;&lt;span style=&quot;font-family:&amp;quot;Segoe UI&amp;quot;, sans-serif;display:inline !important;&quot;&gt;Users who have visual disability and depend on screen reader for navigation will be impacted as screen reader focus is not moving in sequential order while navigating using up or down arrow key in browse/VPC mode. Due to this, users will not be able to know the exact structure of the content and they might not be able to navigate&lt;/span&gt;&lt;/span&gt;&lt;/span&gt;&lt;/span&gt;&lt;/span&gt;&lt;/span&gt; &lt;/div&gt;&lt;div style=&quot;box-sizing:border-box;font-weight:400;&quot;&gt;&lt;br style=&quot;box-sizing:border-box;&quot;&gt; &lt;/div&gt;&lt;div style=&quot;box-sizing:border-box;font-weight:400;&quot;&gt;&lt;div style=&quot;box-sizing:border-box;&quot;&gt; &lt;/div&gt;&lt;div style=&quot;box-sizing:border-box;&quot;&gt;&lt;b style=&quot;box-sizing:border-box;font-family:&amp;quot;Segoe UI&amp;quot;, sans-serif;&quot;&gt;Test Environment:&lt;/b&gt;&lt;br style=&quot;box-sizing:border-box;&quot;&gt; &lt;/div&gt;&lt;div style=&quot;box-sizing:border-box;&quot;&gt; &lt;/div&gt; &lt;/div&gt;&lt;div style=&quot;box-sizing:border-box;font-weight:400;&quot;&gt; &lt;/div&gt;&lt;div style=&quot;box-sizing:border-box;font-weight:400;&quot;&gt; &lt;/div&gt;&lt;div style=&quot;box-sizing:border-box;font-weight:400;&quot;&gt; &lt;/div&gt;&lt;div style=&quot;box-sizing:border-box;font-weight:400;&quot;&gt; &lt;/div&gt;&lt;p style=&quot;box-sizing:border-box;font-weight:400;margin:0in;&quot;&gt; &lt;/p&gt;&lt;span style=&quot;box-sizing:border-box;font-weight:400;&quot;&gt;&lt;/span&gt;&lt;span style=&quot;box-sizing:border-box;font-weight:400;&quot;&gt;&lt;/span&gt;&lt;span style=&quot;box-sizing:border-box;font-weight:400;&quot;&gt;OS: Windows 11 [Version 21H2 (OS Build 22000.675)]&lt;br style=&quot;box-sizing:border-box;&quot;&gt;&lt;/span&gt;&lt;div style=&quot;box-sizing:border-box;font-weight:400;&quot;&gt;Browser: Edge Chromium (102.0.1245.30), Chrome (102.0.5005.63)&lt;br style=&quot;box-sizing:border-box;&quot;&gt; &lt;/div&gt;&lt;div style=&quot;box-sizing:border-box;font-weight:400;&quot;&gt;Screen readers: NVDA (2022.1), JAWS (2022.2204.20) &lt;/div&gt;&lt;div style=&quot;box-sizing:border-box;font-weight:400;&quot;&gt;&lt;span style=&quot;box-sizing:border-box;&quot;&gt;URL:&amp;nbsp;&lt;a href=&quot;https://apps.preview.powerapps.com/play/e/aa1775d6-89ae-47fb-b2cd-ebeb56163da6/a/347399e1-18ec-4002-aa22-c0285a367aaf?tenantId=72f988bf-86f1-41af-91ab-2d7cd011db47&quot;&gt;Onboarding App - Content - Power Apps&lt;/a&gt;&lt;/span&gt;&lt;br style=&quot;box-sizing:border-box;&quot;&gt; &lt;/div&gt;&lt;span style=&quot;box-sizing:border-box;font-weight:400;&quot;&gt;&lt;/span&gt;&lt;div style=&quot;box-sizing:border-box;font-weight:400;&quot;&gt; &lt;/div&gt;&lt;div style=&quot;box-sizing:border-box;font-weight:400;&quot;&gt; &lt;/div&gt;&lt;div style=&quot;box-sizing:border-box;font-weight:400;&quot;&gt;&lt;br style=&quot;box-sizing:border-box;&quot;&gt; &lt;/div&gt;&lt;div style=&quot;box-sizing:border-box;font-weight:400;&quot;&gt;&lt;span style=&quot;box-sizing:border-box;&quot;&gt;&lt;b style=&quot;box-sizing:border-box;&quot;&gt;Prerequisite:&lt;/b&gt;&lt;/span&gt; &lt;/div&gt;&lt;div style=&quot;box-sizing:border-box;font-weight:400;&quot;&gt;&lt;span style=&quot;box-sizing:border-box;&quot;&gt;Turn on NVDA/JAWS. Enable browse mode using 'insert+space'/'insert+Z' key.&lt;/span&gt;&lt;span style=&quot;box-sizing:border-box;&quot;&gt;&lt;b style=&quot;box-sizing:border-box;&quot;&gt;&lt;br style=&quot;box-sizing:border-box;&quot;&gt;&lt;/b&gt;&lt;/span&gt; &lt;/div&gt;&lt;div style=&quot;box-sizing:border-box;font-weight:400;&quot;&gt;&lt;span style=&quot;box-sizing:border-box;&quot;&gt;&lt;br style=&quot;box-sizing:border-box;&quot;&gt;&lt;/span&gt; &lt;/div&gt;&lt;div style=&quot;box-sizing:border-box;font-weight:400;&quot;&gt;&lt;p style=&quot;box-sizing:border-box;margin:0in;&quot;&gt;&lt;b style=&quot;box-sizing:border-box;&quot;&gt;Repro Steps:&lt;/b&gt;&lt;br style=&quot;box-sizing:border-box;&quot;&gt; &lt;/p&gt; &lt;/div&gt;&lt;div style=&quot;box-sizing:border-box;font-weight:400;&quot;&gt;&lt;div style=&quot;box-sizing:border-box;&quot;&gt;&lt;div style=&quot;box-sizing:border-box;&quot;&gt;&lt;div style=&quot;box-sizing:border-box;&quot;&gt;&lt;span style=&quot;box-sizing:border-box;&quot;&gt;&lt;div style=&quot;box-sizing:border-box;&quot;&gt; &lt;/div&gt;&lt;div style=&quot;box-sizing:border-box;&quot;&gt; &lt;/div&gt;&lt;div style=&quot;box-sizing:border-box;&quot;&gt; &lt;/div&gt;&lt;div style=&quot;box-sizing:border-box;&quot;&gt;Step 1:&lt;span style=&quot;box-sizing:border-box;&quot;&gt;&amp;nbsp;&lt;/span&gt;&lt;span style=&quot;box-sizing:border-box;color:rgb(36, 36, 36);font-family:-apple-system, BlinkMacSystemFont, &amp;quot;Segoe UI&amp;quot;, &amp;quot;Apple Color Emoji&amp;quot;, &amp;quot;Segoe UI Emoji&amp;quot;, &amp;quot;Segoe UI Web&amp;quot;, sans-serif;display:inline !important;&quot;&gt;Open the above URL in Edge Chromium Browser or chrome browser.&lt;/span&gt;&lt;span style=&quot;box-sizing:border-box;display:inline !important;&quot;&gt;&lt;/span&gt; &lt;/div&gt;&lt;/span&gt; &lt;/div&gt; &lt;/div&gt; &lt;/div&gt; &lt;/div&gt;&lt;div&gt;Step 2: 'Onboarding App - Content - Power Apps' page will appear.&amp;nbsp; &lt;/div&gt;&lt;div style=&quot;box-sizing:border-box;font-weight:400;&quot;&gt;&lt;div style=&quot;box-sizing:border-box;&quot;&gt;&lt;div style=&quot;box-sizing:border-box;&quot;&gt;&lt;div style=&quot;box-sizing:border-box;&quot;&gt;&lt;span style=&quot;box-sizing:border-box;&quot;&gt;&lt;div style=&quot;box-sizing:border-box;&quot;&gt;Step 3: &lt;span style=&quot;display:inline !important;&quot;&gt;Navigate to the ‘&lt;span style=&quot;box-sizing:border-box;&quot;&gt;CSA Role Basics&amp;nbsp;&lt;/span&gt;&lt;span style=&quot;box-sizing:border-box;&quot;&gt;button'&amp;nbsp;&lt;/span&gt;using Browse/VPC mode.&lt;/span&gt; &lt;/div&gt;&lt;div style=&quot;box-sizing:border-box;&quot;&gt;&lt;span style=&quot;box-sizing:border-box;&quot;&gt;&lt;span style=&quot;box-sizing:border-box;&quot;&gt;Step 4:&lt;span style=&quot;box-sizing:border-box;&quot;&gt;&amp;nbsp;&lt;/span&gt;&lt;/span&gt;&lt;span style=&quot;display:inline !important;&quot;&gt;Verify whether Screen readers focus is not in sequential order on the page while navigating using arrow keys in browse/VPC mode&amp;nbsp;or&lt;/span&gt;&amp;nbsp;not.&lt;br style=&quot;box-sizing:border-box;&quot;&gt;&lt;/span&gt; &lt;/div&gt;&lt;div style=&quot;box-sizing:border-box;&quot;&gt;&lt;span style=&quot;box-sizing:border-box;&quot;&gt;&lt;/span&gt; &lt;/div&gt;&lt;div style=&quot;box-sizing:border-box;&quot;&gt;&lt;span style=&quot;box-sizing:border-box;&quot;&gt;&lt;/span&gt; &lt;/div&gt;&lt;div style=&quot;box-sizing:border-box;&quot;&gt;&lt;span style=&quot;box-sizing:border-box;&quot;&gt;&lt;span style=&quot;box-sizing:border-box;font-family:Calibri, sans-serif;font-size:14.6667px;display:inline !important;&quot;&gt;&lt;span style=&quot;box-sizing:border-box;font-size:14px;display:inline !important;&quot;&gt;&lt;br style=&quot;box-sizing:border-box;&quot;&gt;&lt;/span&gt;&lt;/span&gt;&lt;/span&gt; &lt;/div&gt;&lt;/span&gt; &lt;/div&gt; &lt;/div&gt; &lt;/div&gt; &lt;/div&gt;&lt;div style=&quot;box-sizing:border-box;font-weight:400;&quot;&gt;&lt;div style=&quot;box-sizing:border-box;&quot;&gt;&lt;div style=&quot;box-sizing:border-box;&quot;&gt;&lt;b style=&quot;box-sizing:border-box;&quot;&gt;&lt;/b&gt; &lt;/div&gt; &lt;/div&gt; &lt;/div&gt;&lt;div style=&quot;box-sizing:border-box;font-weight:400;&quot;&gt;&lt;div style=&quot;box-sizing:border-box;&quot;&gt;&lt;div style=&quot;box-sizing:border-box;&quot;&gt;&lt;b style=&quot;box-sizing:border-box;&quot;&gt;Actual Result:&lt;/b&gt;&lt;br style=&quot;box-sizing:border-box;&quot;&gt; &lt;/div&gt; &lt;/div&gt; &lt;/div&gt;&lt;div style=&quot;box-sizing:border-box;font-weight:400;&quot;&gt; &lt;/div&gt;&lt;div style=&quot;box-sizing:border-box;font-weight:400;&quot;&gt;&lt;b style=&quot;box-sizing:border-box;&quot;&gt;&lt;span style=&quot;box-sizing:border-box;display:inline !important;&quot;&gt;&lt;/span&gt;&lt;/b&gt; &lt;/div&gt;&lt;div style=&quot;box-sizing:border-box;font-weight:400;&quot;&gt; &lt;/div&gt;&lt;div style=&quot;box-sizing:border-box;&quot;&gt;&lt;div style=&quot;font-weight:400;box-sizing:border-box;&quot;&gt; &lt;/div&gt; &lt;/div&gt;&lt;div style=&quot;box-sizing:border-box;&quot;&gt;Screen readers focus is not in sequential order on the page while navigating using arrow keys in browse/VPC mode. &lt;/div&gt;&lt;div style=&quot;box-sizing:border-box;&quot;&gt;&lt;b style=&quot;box-sizing:border-box;&quot;&gt;Observation:&lt;/b&gt;&lt;span&gt;&amp;nbsp;&lt;/span&gt;When screen readers focus on '&lt;span style=&quot;&quot;&gt;CSA Role Basics&amp;nbsp;&lt;/span&gt;&lt;span style=&quot;&quot;&gt;button'--&amp;gt;&lt;/span&gt;&lt;span style=&quot;&quot;&gt;&amp;nbsp;'&lt;/span&gt;&lt;span style=&quot;&quot;&gt;70% complete'--&amp;gt;&lt;span style=&quot;&quot;&gt;&amp;nbsp;&lt;/span&gt;progress bar &lt;/span&gt; &lt;/div&gt;&lt;div style=&quot;box-sizing:border-box;font-weight:400;&quot;&gt;&lt;br style=&quot;box-sizing:border-box;&quot;&gt; &lt;/div&gt;&lt;div style=&quot;box-sizing:border-box;&quot;&gt;&lt;div style=&quot;font-weight:400;box-sizing:border-box;&quot;&gt; &lt;/div&gt;&lt;div style=&quot;box-sizing:border-box;&quot;&gt;&lt;b style=&quot;box-sizing:border-box;&quot;&gt;Expected Result:&lt;br style=&quot;box-sizing:border-box;&quot;&gt;&lt;/b&gt;&lt;div style=&quot;font-weight:400;box-sizing:border-box;&quot;&gt;&lt;div style=&quot;box-sizing:border-box;&quot;&gt;&lt;span style=&quot;display:inline !important;&quot;&gt;&lt;span style=&quot;display:inline !important;&quot;&gt;&lt;span style=&quot;font-family:&amp;quot;Segoe UI&amp;quot;, system-ui, &amp;quot;Apple Color Emoji&amp;quot;, &amp;quot;Segoe UI Emoji&amp;quot;, sans-serif;display:inline !important;&quot;&gt;Screen reader focus should be in sequential order on the page while navigating using arrow keys in browse/VPC mode.&lt;/span&gt;&lt;/span&gt;&lt;/span&gt; &lt;/div&gt; &lt;/div&gt;&lt;div style=&quot;box-sizing:border-box;&quot;&gt;&lt;div style=&quot;box-sizing:border-box;&quot;&gt;&lt;b&gt;Ex: &lt;/b&gt;Expected&lt;b&gt;&amp;nbsp;&lt;/b&gt;&lt;span style=&quot;font-weight:400;display:inline !important;&quot;&gt;screen readers focus&amp;nbsp;&lt;span style=&quot;display:inline !important;&quot;&gt;order&lt;/span&gt; on&lt;/span&gt;&lt;b&gt;&amp;nbsp;&lt;/b&gt;&lt;span style=&quot;font-weight:400;display:inline !important;&quot;&gt;'&lt;/span&gt;&lt;span style=&quot;font-weight:400;box-sizing:border-box;&quot;&gt;CSA Role Basics&amp;nbsp;&lt;/span&gt;&lt;span style=&quot;font-weight:400;box-sizing:border-box;&quot;&gt;button'--&amp;gt;&lt;/span&gt;&lt;span style=&quot;box-sizing:border-box;&quot;&gt;&lt;span style=&quot;box-sizing:border-box;&quot;&gt;&lt;span style=&quot;box-sizing:border-box;&quot;&gt;&lt;span style=&quot;box-sizing:border-box;&quot;&gt;&amp;nbsp;&lt;/span&gt;progress bar&amp;nbsp;&lt;span style=&quot;box-sizing:border-box;&quot;&gt;&lt;span style=&quot;box-sizing:border-box;&quot;&gt;--&amp;gt;&lt;/span&gt;&lt;/span&gt;&lt;/span&gt;&lt;/span&gt;&lt;/span&gt;&lt;span style=&quot;box-sizing:border-box;&quot;&gt;&amp;nbsp;&lt;/span&gt;&lt;span style=&quot;font-weight:400;box-sizing:border-box;&quot;&gt;'&lt;/span&gt;&lt;span style=&quot;font-weight:400;box-sizing:border-box;&quot;&gt;70% complete'&lt;/span&gt; &lt;/div&gt;&lt;div style=&quot;box-sizing:border-box;&quot;&gt;&lt;span style=&quot;box-sizing:border-box;display:inline !important;&quot;&gt;&lt;br&gt;&lt;/span&gt; &lt;/div&gt; &lt;/div&gt; &lt;/div&gt; &lt;/div&gt;&lt;div style=&quot;box-sizing:border-box;font-weight:400;&quot;&gt;&lt;div style=&quot;box-sizing:border-box;&quot;&gt;&lt;div style=&quot;box-sizing:border-box;&quot;&gt;&lt;div style=&quot;box-sizing:border-box;&quot;&gt;&lt;span style=&quot;box-sizing:border-box;font-weight:bold;&quot;&gt;&lt;div style=&quot;box-sizing:border-box;font-weight:400;&quot;&gt;&lt;div style=&quot;box-sizing:border-box;&quot;&gt;&lt;b style=&quot;box-sizing:border-box;&quot;&gt;MAS Reference Link:&lt;/b&gt; &lt;/div&gt; &lt;/div&gt;&lt;/span&gt; &lt;/div&gt; &lt;/div&gt; &lt;/div&gt; &lt;/div&gt;&lt;div&gt;&lt;div&gt;&lt;a href=&quot;https://nam06.safelinks.protection.outlook.com/ap/w-59584e83/?url=https:%2f%2fmicrosoft.sharepoint.com%2f:w:%2fr%2fsites%2faccessibility%2f_layouts%2f15%2fDoc.aspx?sourcedoc%3D%257B3C29FC92-CBCC-4A68-9FA6-0F159E3CFEA1%257D%26file%3DMAS%25204.2.10%2520%25E2%2580%2593%2520Tracking%2520of%2520Focus%2520and%2520Selection%2520Attributes.docx%26wdLOR%3Dc15814F13-1B22-4FF5-A80E-802D46292C60%26action%3Ddefault%26mobileredirect%3Dtrue&amp;amp;data=04%7c01%7cv-sankreddy%40microsoft.com%7c24517ca93b254ec948d808d9f831b974%7c72f988bf86f141af91ab2d7cd011db47%7c1%7c0%7c637813714747000587%7cUnknown%7cTWFpbGZsb3d8eyJWIjoiMC4wLjAwMDAiLCJQIjoiV2luMzIiLCJBTiI6Ik1haWwiLCJXVCI6Mn0%3D%7c3000&amp;amp;sdata=NpOQhLR%2B8NVBPfx91o9%2Bl25Dbua3BXXsOvKO4ijhUpk%3D&amp;amp;reserved=0&quot;&gt;MAS 4.2.10 – Tracking of Focus and Selection_x000a_Attributes&lt;/a&gt; &lt;/div&gt; &lt;/div&gt;&lt;div style=&quot;box-sizing:border-box;font-weight:400;&quot;&gt;&lt;div style=&quot;box-sizing:border-box;&quot;&gt;&lt;div style=&quot;box-sizing:border-box;&quot;&gt;&lt;div style=&quot;box-sizing:border-box;&quot;&gt; &lt;/div&gt; &lt;/div&gt; &lt;/div&gt; &lt;/div&gt;"/>
    <s v="Si"/>
    <x v="0"/>
    <s v="Enrique Monsalve "/>
  </r>
  <r>
    <n v="1517993"/>
    <s v="Bug"/>
    <s v="[Screen Readers - OLP Power Apps - Content page]: Screen readers are not narrating the role for the pagination controls in the page."/>
    <s v="New"/>
    <s v="Enrique Monsalve &lt;v-monsalvee@microsoft.com&gt;"/>
    <s v="Si"/>
    <m/>
    <s v="Completado"/>
    <s v="A11y-1STPARTY; A11yMAS; A11yMASP3; CommonScreenReaders; HCL; HCL_OLP - MayJune FY22 New Update; MAS 4.1.2; NewBaselineAssessment; RecID_8303"/>
    <m/>
    <x v="0"/>
    <s v="&lt;div style=&quot;box-sizing:border-box;&quot;&gt;&lt;b&gt;&lt;/b&gt; &lt;/div&gt;&lt;div style=&quot;box-sizing:border-box;&quot;&gt;&lt;span style=&quot;box-sizing:border-box;&quot;&gt;&lt;p style=&quot;font-weight:400;margin:0in;&quot;&gt;&lt;b&gt;PWD Impact: -&lt;/b&gt;&lt;br&gt; &lt;/p&gt;&lt;/span&gt; &lt;/div&gt;&lt;div style=&quot;box-sizing:border-box;font-weight:400;&quot;&gt;&lt;span style=&quot;box-sizing:border-box;display:inline !important;&quot;&gt;&lt;span style=&quot;box-sizing:border-box;font-family:&amp;quot;Segoe UI&amp;quot;, sans-serif;display:inline !important;&quot;&gt;&lt;span style=&quot;box-sizing:border-box;display:inline !important;&quot;&gt;&lt;span style=&quot;display:inline !important;&quot;&gt;&lt;span style=&quot;display:inline !important;&quot;&gt;&lt;span style=&quot;display:inline !important;&quot;&gt;&lt;span style=&quot;display:inline !important;&quot;&gt;&lt;span style=&quot;display:inline !important;&quot;&gt;Screen Reader users will be impacted if&amp;nbsp;Screen readers are not narrating the role for the pagination controls in the page. users will get confused and lead to disorientation.&lt;/span&gt;&lt;/span&gt;&lt;/span&gt;&lt;/span&gt;&lt;/span&gt;&lt;/span&gt;&lt;/span&gt;&lt;/span&gt; &lt;/div&gt;&lt;div style=&quot;box-sizing:border-box;font-weight:400;&quot;&gt;&lt;b style=&quot;font-family:&amp;quot;Segoe UI&amp;quot;, sans-serif;&quot;&gt;&lt;br&gt;&lt;/b&gt; &lt;/div&gt;&lt;div style=&quot;box-sizing:border-box;font-weight:400;&quot;&gt;&lt;b style=&quot;font-family:&amp;quot;Segoe UI&amp;quot;, sans-serif;&quot;&gt;Test Environment:&lt;/b&gt;&lt;br&gt; &lt;/div&gt;&lt;div style=&quot;box-sizing:border-box;font-weight:400;&quot;&gt;&lt;div style=&quot;box-sizing:border-box;&quot;&gt; &lt;/div&gt; &lt;/div&gt;&lt;div style=&quot;box-sizing:border-box;font-weight:400;&quot;&gt; &lt;/div&gt;&lt;div style=&quot;box-sizing:border-box;font-weight:400;&quot;&gt; &lt;/div&gt;&lt;div style=&quot;box-sizing:border-box;font-weight:400;&quot;&gt; &lt;/div&gt;&lt;div style=&quot;box-sizing:border-box;font-weight:400;&quot;&gt; &lt;/div&gt;&lt;p style=&quot;box-sizing:border-box;font-weight:400;margin:0in;&quot;&gt; &lt;/p&gt;&lt;span style=&quot;box-sizing:border-box;font-weight:400;&quot;&gt;&lt;/span&gt;&lt;span style=&quot;box-sizing:border-box;font-weight:400;&quot;&gt;&lt;/span&gt;&lt;span style=&quot;box-sizing:border-box;font-weight:400;&quot;&gt;OS: Windows 11 [Version 21H2 (OS Build 22000.675)]&lt;br style=&quot;box-sizing:border-box;&quot;&gt;&lt;/span&gt;&lt;div style=&quot;box-sizing:border-box;font-weight:400;&quot;&gt;Browser: Edge Chromium (102.0.1245.30), Chrome (102.0.5005.63)&lt;br style=&quot;box-sizing:border-box;&quot;&gt; &lt;/div&gt;&lt;div style=&quot;box-sizing:border-box;font-weight:400;&quot;&gt;Screen readers: NVDA (2022.1), JAWS (2022.2204.20) &lt;/div&gt;&lt;div style=&quot;box-sizing:border-box;font-weight:400;&quot;&gt;&lt;span style=&quot;box-sizing:border-box;&quot;&gt;URL:&amp;nbsp;&lt;a href=&quot;https://apps.preview.powerapps.com/play/e/aa1775d6-89ae-47fb-b2cd-ebeb56163da6/a/347399e1-18ec-4002-aa22-c0285a367aaf?tenantId=72f988bf-86f1-41af-91ab-2d7cd011db47&quot;&gt;Onboarding App - Content - Power Apps&lt;/a&gt;&lt;/span&gt;&lt;br style=&quot;box-sizing:border-box;&quot;&gt; &lt;/div&gt;&lt;span style=&quot;box-sizing:border-box;font-weight:400;&quot;&gt;&lt;/span&gt;&lt;div style=&quot;box-sizing:border-box;font-weight:400;&quot;&gt; &lt;/div&gt;&lt;div style=&quot;box-sizing:border-box;font-weight:400;&quot;&gt; &lt;/div&gt;&lt;div style=&quot;box-sizing:border-box;font-weight:400;&quot;&gt;&lt;br style=&quot;box-sizing:border-box;&quot;&gt; &lt;/div&gt;&lt;div style=&quot;box-sizing:border-box;font-weight:400;&quot;&gt;&lt;span style=&quot;box-sizing:border-box;&quot;&gt;&lt;b style=&quot;box-sizing:border-box;&quot;&gt;Prerequisite:&lt;/b&gt;&lt;/span&gt; &lt;/div&gt;&lt;div style=&quot;box-sizing:border-box;font-weight:400;&quot;&gt;&lt;span style=&quot;box-sizing:border-box;&quot;&gt;Turn on NVDA/JAWS. Enable browse mode using 'insert+space'/'insert+Z' key.&lt;/span&gt;&lt;span style=&quot;box-sizing:border-box;&quot;&gt;&lt;b style=&quot;box-sizing:border-box;&quot;&gt;&lt;br style=&quot;box-sizing:border-box;&quot;&gt;&lt;/b&gt;&lt;/span&gt; &lt;/div&gt;&lt;div style=&quot;box-sizing:border-box;font-weight:400;&quot;&gt;&lt;span style=&quot;box-sizing:border-box;&quot;&gt;&lt;br style=&quot;box-sizing:border-box;&quot;&gt;&lt;/span&gt; &lt;/div&gt;&lt;div style=&quot;box-sizing:border-box;font-weight:400;&quot;&gt;&lt;p style=&quot;box-sizing:border-box;margin:0in;&quot;&gt;&lt;b style=&quot;box-sizing:border-box;&quot;&gt;Repro Steps:&lt;/b&gt;&lt;br style=&quot;box-sizing:border-box;&quot;&gt; &lt;/p&gt; &lt;/div&gt;&lt;div style=&quot;box-sizing:border-box;font-weight:400;&quot;&gt;&lt;div style=&quot;box-sizing:border-box;&quot;&gt;&lt;div style=&quot;box-sizing:border-box;&quot;&gt;&lt;div style=&quot;box-sizing:border-box;&quot;&gt;&lt;span style=&quot;box-sizing:border-box;&quot;&gt;&lt;div style=&quot;box-sizing:border-box;&quot;&gt; &lt;/div&gt;&lt;div style=&quot;box-sizing:border-box;&quot;&gt; &lt;/div&gt;&lt;div style=&quot;box-sizing:border-box;&quot;&gt; &lt;/div&gt;&lt;div style=&quot;box-sizing:border-box;&quot;&gt;Step 1:&lt;span style=&quot;box-sizing:border-box;&quot;&gt;&amp;nbsp;&lt;/span&gt;&lt;span style=&quot;box-sizing:border-box;color:rgb(36, 36, 36);font-family:-apple-system, BlinkMacSystemFont, &amp;quot;Segoe UI&amp;quot;, &amp;quot;Apple Color Emoji&amp;quot;, &amp;quot;Segoe UI Emoji&amp;quot;, &amp;quot;Segoe UI Web&amp;quot;, sans-serif;display:inline !important;&quot;&gt;Open the above URL in Edge Chromium Browser or chrome browser.&lt;/span&gt;&lt;span style=&quot;box-sizing:border-box;display:inline !important;&quot;&gt;&lt;/span&gt; &lt;/div&gt;&lt;/span&gt; &lt;/div&gt; &lt;/div&gt; &lt;/div&gt; &lt;/div&gt;&lt;div&gt;Step 2: 'Onboarding App - Content - Power Apps' page will appear-&amp;gt;Navigate to 'Browse' control and activate it. &lt;/div&gt;&lt;div style=&quot;box-sizing:border-box;font-weight:400;&quot;&gt;&lt;div style=&quot;box-sizing:border-box;&quot;&gt;&lt;div style=&quot;box-sizing:border-box;&quot;&gt;&lt;div style=&quot;box-sizing:border-box;&quot;&gt;&lt;span style=&quot;box-sizing:border-box;&quot;&gt;&lt;div style=&quot;box-sizing:border-box;&quot;&gt;&lt;span&gt;Step 3:&amp;nbsp;&lt;/span&gt;&lt;span&gt;Verify whether&amp;nbsp;Screen readers are narrating the role for the pagination controls in the page or not.&lt;/span&gt; &lt;/div&gt;&lt;div style=&quot;box-sizing:border-box;&quot;&gt;&lt;span&gt;&lt;br&gt;&lt;/span&gt; &lt;/div&gt;&lt;div style=&quot;box-sizing:border-box;&quot;&gt; &lt;/div&gt;&lt;/span&gt; &lt;/div&gt; &lt;/div&gt; &lt;/div&gt; &lt;/div&gt;&lt;div style=&quot;box-sizing:border-box;font-weight:400;&quot;&gt;&lt;div style=&quot;box-sizing:border-box;&quot;&gt;&lt;div style=&quot;box-sizing:border-box;&quot;&gt;&lt;b style=&quot;box-sizing:border-box;&quot;&gt;&lt;/b&gt; &lt;/div&gt; &lt;/div&gt; &lt;/div&gt;&lt;div style=&quot;box-sizing:border-box;font-weight:400;&quot;&gt;&lt;div style=&quot;box-sizing:border-box;&quot;&gt;&lt;div style=&quot;box-sizing:border-box;&quot;&gt;&lt;b style=&quot;box-sizing:border-box;&quot;&gt;Actual Result:&lt;/b&gt;&lt;br style=&quot;box-sizing:border-box;&quot;&gt; &lt;/div&gt; &lt;/div&gt; &lt;/div&gt;&lt;div style=&quot;box-sizing:border-box;font-weight:400;&quot;&gt; &lt;/div&gt;&lt;div style=&quot;box-sizing:border-box;font-weight:400;&quot;&gt;&lt;b style=&quot;box-sizing:border-box;&quot;&gt;&lt;span style=&quot;box-sizing:border-box;display:inline !important;&quot;&gt;&lt;/span&gt;&lt;/b&gt; &lt;/div&gt;&lt;div style=&quot;box-sizing:border-box;font-weight:400;&quot;&gt; &lt;/div&gt;&lt;div style=&quot;box-sizing:border-box;&quot;&gt;&lt;div style=&quot;font-weight:400;box-sizing:border-box;&quot;&gt; &lt;/div&gt; &lt;/div&gt;&lt;div style=&quot;box-sizing:border-box;&quot;&gt;Screen readers are not narrating the role for the pagination controls in the page.&lt;br&gt; &lt;/div&gt;&lt;div style=&quot;box-sizing:border-box;&quot;&gt;&lt;b style=&quot;box-sizing:border-box;&quot;&gt;Observation:&lt;/b&gt;&lt;span&gt;&amp;nbsp;Screen reader narrating as edit unavailable&amp;nbsp;&lt;/span&gt; &lt;/div&gt;&lt;div style=&quot;box-sizing:border-box;&quot;&gt;edit unavailable.&lt;br&gt;&lt;span&gt;&lt;div&gt;&lt;b style=&quot;&quot;&gt;&lt;br&gt;&lt;/b&gt; &lt;/div&gt;&lt;div&gt;&lt;b style=&quot;&quot;&gt;Expected Result:&lt;/b&gt;&lt;br&gt; &lt;/div&gt;&lt;/span&gt; &lt;/div&gt;&lt;div style=&quot;box-sizing:border-box;&quot;&gt;&lt;div style=&quot;box-sizing:border-box;&quot;&gt;&lt;div style=&quot;font-weight:400;box-sizing:border-box;&quot;&gt;&lt;div style=&quot;box-sizing:border-box;&quot;&gt;Screen readers should narrate the role for the pagination controls in the page.&lt;br&gt; &lt;/div&gt; &lt;/div&gt;&lt;div style=&quot;box-sizing:border-box;&quot;&gt;&lt;div style=&quot;box-sizing:border-box;&quot;&gt;&lt;b&gt;Ex: &lt;/b&gt;Screen reader should announce as&lt;b&gt;&amp;nbsp;&lt;/b&gt;button&lt;b&gt;&amp;nbsp;&lt;/b&gt;next &lt;/div&gt;&lt;div style=&quot;box-sizing:border-box;&quot;&gt;button previous. &lt;/div&gt;&lt;div style=&quot;box-sizing:border-box;&quot;&gt;&lt;br&gt; &lt;/div&gt;&lt;div style=&quot;box-sizing:border-box;&quot;&gt; &lt;/div&gt; &lt;/div&gt; &lt;/div&gt; &lt;/div&gt;&lt;div style=&quot;box-sizing:border-box;font-weight:400;&quot;&gt;&lt;div style=&quot;box-sizing:border-box;&quot;&gt;&lt;div style=&quot;box-sizing:border-box;&quot;&gt;&lt;div style=&quot;box-sizing:border-box;&quot;&gt;&lt;span style=&quot;box-sizing:border-box;font-weight:bold;&quot;&gt;&lt;div style=&quot;box-sizing:border-box;font-weight:400;&quot;&gt;&lt;div style=&quot;box-sizing:border-box;&quot;&gt;&lt;b style=&quot;box-sizing:border-box;&quot;&gt;&lt;/b&gt; &lt;/div&gt; &lt;/div&gt;&lt;/span&gt; &lt;/div&gt; &lt;/div&gt; &lt;/div&gt; &lt;/div&gt;&lt;div style=&quot;box-sizing:border-box;font-weight:400;&quot;&gt;&lt;b style=&quot;box-sizing:border-box;&quot;&gt;&lt;/b&gt; &lt;/div&gt;&lt;div style=&quot;box-sizing:border-box;font-weight:400;&quot;&gt;&lt;div style=&quot;box-sizing:border-box;&quot;&gt;&lt;div style=&quot;box-sizing:border-box;&quot;&gt;&lt;div style=&quot;box-sizing:border-box;&quot;&gt;&lt;span style=&quot;box-sizing:border-box;font-weight:bold;&quot;&gt;&lt;div style=&quot;box-sizing:border-box;font-weight:400;&quot;&gt;&lt;div style=&quot;box-sizing:border-box;&quot;&gt;&lt;b style=&quot;box-sizing:border-box;&quot;&gt;&lt;/b&gt; &lt;/div&gt; &lt;/div&gt;&lt;/span&gt; &lt;/div&gt; &lt;/div&gt; &lt;/div&gt; &lt;/div&gt;&lt;div style=&quot;box-sizing:border-box;font-weight:400;&quot;&gt;&lt;div style=&quot;box-sizing:border-box;&quot;&gt;&lt;b style=&quot;box-sizing:border-box;&quot;&gt;MAS Reference:&lt;/b&gt;&lt;br style=&quot;box-sizing:border-box;&quot;&gt; &lt;/div&gt; &lt;/div&gt;&lt;div style=&quot;box-sizing:border-box;font-weight:400;&quot;&gt; &lt;/div&gt;&lt;div style=&quot;box-sizing:border-box;font-weight:400;&quot;&gt; &lt;/div&gt;&lt;div style=&quot;box-sizing:border-box;font-weight:400;&quot;&gt;&lt;a href=&quot;https://microsoft.sharepoint.com/:w:/r/sites/accessibility/_layouts/15/Doc.aspx?sourcedoc=%7bB661D774-60D0-4277-A121-73F986EBEE76%7d&amp;amp;file=MAS%204.1.2%20%E2%80%93%20Name%2c%20Role%2c%20Value.docx&amp;amp;wdLOR=cE56E09CE-4478-4D20-B785-78D1B90569C1&amp;amp;action=default&amp;amp;mobileredirect=true&quot; style=&quot;box-sizing:border-box;text-decoration:underline;cursor:pointer;&quot;&gt;MAS 4.1.2 – Name, Role, Value&lt;/a&gt; &lt;/div&gt;&lt;div style=&quot;box-sizing:border-box;font-weight:400;&quot;&gt;&amp;nbsp; &lt;/div&gt;&lt;div style=&quot;box-sizing:border-box;font-weight:400;&quot;&gt;&lt;b style=&quot;box-sizing:border-box;&quot;&gt;WCAG Reference:&lt;/b&gt; &lt;/div&gt;&lt;div style=&quot;box-sizing:border-box;font-weight:400;&quot;&gt;&lt;a href=&quot;https://nam06.safelinks.protection.outlook.com/?url=https://www.w3.org/WAI/WCAG21/Understanding/name-role-value.html&amp;amp;data=04%7c01%7cv-vshivanii%40microsoft.com%7c94edc582aca645e49e5008d8c9ce70dc%7c72f988bf86f141af91ab2d7cd011db47%7c0%7c0%7c637481235788101819%7cUnknown%7cTWFpbGZsb3d8eyJWIjoiMC4wLjAwMDAiLCJQIjoiV2luMzIiLCJBTiI6Ik1haWwiLCJXVCI6Mn0%3D%7c1000&amp;amp;sdata=2zqGQGN70dzqnJ5k4IljdohWbT/9RGZnB3nk2fwx1o0%3D&amp;amp;reserved=0&quot; style=&quot;box-sizing:border-box;text-decoration:underline;cursor:pointer;&quot;&gt;https://www.w3.org/WAI/WCAG21/Understanding/name-role-value.html&lt;/a&gt; &lt;/div&gt;&lt;div style=&quot;box-sizing:border-box;font-weight:400;&quot;&gt;&lt;div style=&quot;box-sizing:border-box;&quot;&gt;&lt;div style=&quot;box-sizing:border-box;&quot;&gt;&lt;a href=&quot;https://www.w3.org/WAI/WCAG21/Understanding/info-and-relationships.html&quot; style=&quot;box-sizing:border-box;text-decoration:underline;cursor:pointer;&quot;&gt;&lt;/a&gt; &lt;/div&gt; &lt;/div&gt; &lt;/div&gt;&lt;div style=&quot;box-sizing:border-box;font-weight:400;&quot;&gt;&lt;a href=&quot;https://www.w3.org/WAI/WCAG21/Understanding/name-role-value.html&quot; style=&quot;box-sizing:border-box;text-decoration:underline;cursor:pointer;&quot;&gt;&lt;/a&gt; &lt;/div&gt;&lt;div&gt;&lt;div&gt;&lt;div style=&quot;box-sizing:border-box;&quot;&gt;&lt;a href=&quot;https://www.w3.org/WAI/WCAG21/Understanding/info-and-relationships.html&quot; style=&quot;box-sizing:border-box;text-decoration:underline;&quot;&gt;&lt;/a&gt; &lt;/div&gt; &lt;/div&gt; &lt;/div&gt;&lt;div style=&quot;box-sizing:border-box;font-weight:400;&quot;&gt;&lt;div style=&quot;box-sizing:border-box;&quot;&gt;&lt;div style=&quot;box-sizing:border-box;&quot;&gt;&lt;div style=&quot;box-sizing:border-box;&quot;&gt; &lt;/div&gt; &lt;/div&gt; &lt;/div&gt; &lt;/div&gt;"/>
    <s v="No"/>
    <x v="1"/>
    <s v="Priyanka Mangla "/>
  </r>
  <r>
    <n v="1517996"/>
    <s v="Bug"/>
    <s v="[Visual Requirement - OLP Power Apps - Content page]: Screen reader does not announce any information after activating 'Bookmark', 'Mark as complete' or 'Rate content' controls."/>
    <s v="New"/>
    <s v="Enrique Monsalve &lt;v-monsalvee@microsoft.com&gt;"/>
    <s v="Si"/>
    <m/>
    <s v="Completado"/>
    <s v="A11y-1STPARTY; A11yMAS; A11yMASP3; CommonScreenReaders; HCL; HCL_OLP - MayJune FY22 New Update; MAS 1.3.1; NewBaselineAssessment; RecID_8303"/>
    <m/>
    <x v="0"/>
    <s v="&lt;div style=&quot;box-sizing:border-box;&quot;&gt;&lt;b&gt;&lt;/b&gt; &lt;/div&gt;&lt;div style=&quot;box-sizing:border-box;&quot;&gt;&lt;span style=&quot;box-sizing:border-box;&quot;&gt;&lt;p style=&quot;font-weight:400;margin:0in;&quot;&gt;&lt;b&gt;PWD Impact: -&lt;/b&gt;&lt;br&gt; &lt;/p&gt;&lt;/span&gt; &lt;/div&gt;&lt;div style=&quot;box-sizing:border-box;font-weight:400;&quot;&gt;&lt;span style=&quot;box-sizing:border-box;display:inline !important;&quot;&gt;&lt;span style=&quot;box-sizing:border-box;font-family:&amp;quot;Segoe UI&amp;quot;, sans-serif;display:inline !important;&quot;&gt;&lt;span style=&quot;box-sizing:border-box;display:inline !important;&quot;&gt;&lt;span style=&quot;display:inline !important;&quot;&gt;&lt;span style=&quot;display:inline !important;&quot;&gt;&lt;span style=&quot;display:inline !important;&quot;&gt;&lt;span style=&quot;display:inline !important;&quot;&gt;&lt;span style=&quot;box-sizing:border-box;display:inline !important;&quot;&gt;&lt;/span&gt;&lt;/span&gt;&lt;/span&gt;&lt;/span&gt;&lt;/span&gt;&lt;/span&gt;&lt;/span&gt;&lt;/span&gt; &lt;/div&gt;&lt;div&gt;Users who have visual disability and depend on screen reader for navigation will be impacted as Screen reader does not announce any information after activating 'Bookmark', 'Mark as complete' or 'Rate content' controls. Due to this, users would not know what action has been performed.&lt;br&gt; &lt;/div&gt;&lt;div style=&quot;box-sizing:border-box;font-weight:400;&quot;&gt;&lt;br style=&quot;box-sizing:border-box;&quot;&gt; &lt;/div&gt;&lt;div style=&quot;box-sizing:border-box;font-weight:400;&quot;&gt;&lt;div style=&quot;box-sizing:border-box;&quot;&gt; &lt;/div&gt;&lt;div style=&quot;box-sizing:border-box;&quot;&gt;&lt;b style=&quot;box-sizing:border-box;font-family:&amp;quot;Segoe UI&amp;quot;, sans-serif;&quot;&gt;Test Environment:&lt;/b&gt;&lt;br style=&quot;box-sizing:border-box;&quot;&gt; &lt;/div&gt;&lt;div style=&quot;box-sizing:border-box;&quot;&gt; &lt;/div&gt; &lt;/div&gt;&lt;div style=&quot;box-sizing:border-box;font-weight:400;&quot;&gt; &lt;/div&gt;&lt;div style=&quot;box-sizing:border-box;font-weight:400;&quot;&gt; &lt;/div&gt;&lt;div style=&quot;box-sizing:border-box;font-weight:400;&quot;&gt; &lt;/div&gt;&lt;div style=&quot;box-sizing:border-box;font-weight:400;&quot;&gt; &lt;/div&gt;&lt;p style=&quot;box-sizing:border-box;font-weight:400;margin:0in;&quot;&gt; &lt;/p&gt;&lt;span style=&quot;box-sizing:border-box;font-weight:400;&quot;&gt;&lt;/span&gt;&lt;span style=&quot;box-sizing:border-box;font-weight:400;&quot;&gt;&lt;/span&gt;&lt;span style=&quot;box-sizing:border-box;font-weight:400;&quot;&gt;&lt;/span&gt;&lt;span&gt;OS: Windows 11 [Version 21H2 (OS Build 22000.856)]&lt;br&gt;&lt;/span&gt;&lt;div&gt;Browser: Edge Chromium (104.0.1293.54), Chrome (104.0.5112.81)&lt;br&gt; &lt;/div&gt;&lt;div&gt;Screen readers: NVDA (2022.2), JAWS (2022.2207.25)&lt;br&gt; &lt;/div&gt;&lt;span&gt;&lt;/span&gt;&lt;div style=&quot;box-sizing:border-box;font-weight:400;&quot;&gt; &lt;/div&gt;&lt;div style=&quot;box-sizing:border-box;font-weight:400;&quot;&gt;&lt;span style=&quot;box-sizing:border-box;&quot;&gt;URL:&amp;nbsp;&lt;a href=&quot;https://apps.preview.powerapps.com/play/e/aa1775d6-89ae-47fb-b2cd-ebeb56163da6/a/347399e1-18ec-4002-aa22-c0285a367aaf?tenantId=72f988bf-86f1-41af-91ab-2d7cd011db47&quot;&gt;Onboarding App - Content - Power Apps&lt;/a&gt;&lt;/span&gt;&lt;br style=&quot;box-sizing:border-box;&quot;&gt; &lt;/div&gt;&lt;span style=&quot;box-sizing:border-box;font-weight:400;&quot;&gt;&lt;/span&gt;&lt;div style=&quot;box-sizing:border-box;font-weight:400;&quot;&gt; &lt;/div&gt;&lt;div style=&quot;box-sizing:border-box;font-weight:400;&quot;&gt; &lt;/div&gt;&lt;div style=&quot;box-sizing:border-box;font-weight:400;&quot;&gt;&lt;br&gt; &lt;/div&gt;&lt;div style=&quot;box-sizing:border-box;font-weight:400;&quot;&gt;&lt;div style=&quot;box-sizing:border-box;&quot;&gt;&lt;b style=&quot;box-sizing:border-box;&quot;&gt;Prerequisite:&lt;/b&gt; &lt;/div&gt;&lt;div style=&quot;box-sizing:border-box;&quot;&gt; &lt;/div&gt;&lt;div style=&quot;box-sizing:border-box;&quot;&gt;Turn on NVDA/JAWS. Enable browse mode using insert+space / insert+z key. &lt;/div&gt;&lt;br&gt; &lt;/div&gt;&lt;div style=&quot;box-sizing:border-box;font-weight:400;&quot;&gt; &lt;/div&gt;&lt;div style=&quot;box-sizing:border-box;font-weight:400;&quot;&gt;&lt;p style=&quot;box-sizing:border-box;margin:0in;&quot;&gt;&lt;b style=&quot;box-sizing:border-box;&quot;&gt;Repro Steps:&lt;/b&gt;&lt;br style=&quot;box-sizing:border-box;&quot;&gt; &lt;/p&gt; &lt;/div&gt;&lt;div style=&quot;box-sizing:border-box;font-weight:400;&quot;&gt;&lt;div style=&quot;box-sizing:border-box;&quot;&gt;&lt;div style=&quot;box-sizing:border-box;&quot;&gt;&lt;div style=&quot;box-sizing:border-box;&quot;&gt;&lt;span style=&quot;box-sizing:border-box;&quot;&gt;&lt;div style=&quot;box-sizing:border-box;&quot;&gt; &lt;/div&gt;&lt;div style=&quot;box-sizing:border-box;&quot;&gt; &lt;/div&gt;&lt;div style=&quot;box-sizing:border-box;&quot;&gt; &lt;/div&gt;&lt;div style=&quot;box-sizing:border-box;&quot;&gt;Step 1:&lt;span style=&quot;box-sizing:border-box;&quot;&gt;&amp;nbsp;&lt;/span&gt;&lt;span style=&quot;box-sizing:border-box;color:rgb(36, 36, 36);font-family:-apple-system, BlinkMacSystemFont, &amp;quot;Segoe UI&amp;quot;, &amp;quot;Apple Color Emoji&amp;quot;, &amp;quot;Segoe UI Emoji&amp;quot;, &amp;quot;Segoe UI Web&amp;quot;, sans-serif;display:inline !important;&quot;&gt;Open the above URL in Edge Chromium Browser or chrome browser.&lt;/span&gt;&lt;span style=&quot;box-sizing:border-box;display:inline !important;&quot;&gt;&lt;/span&gt; &lt;/div&gt;&lt;/span&gt; &lt;/div&gt; &lt;/div&gt; &lt;/div&gt; &lt;/div&gt;&lt;div&gt;Step 2: 'Onboarding App - Content - Power Apps' page will appear.&amp;nbsp; &lt;/div&gt;&lt;div style=&quot;box-sizing:border-box;font-weight:400;&quot;&gt;&lt;div style=&quot;box-sizing:border-box;&quot;&gt;&lt;div style=&quot;box-sizing:border-box;&quot;&gt;&lt;div style=&quot;box-sizing:border-box;&quot;&gt;&lt;span style=&quot;box-sizing:border-box;&quot;&gt;&lt;div style=&quot;box-sizing:border-box;&quot;&gt;Step 3: &lt;span style=&quot;display:inline !important;&quot;&gt;Navigate to the ‘&lt;span style=&quot;box-sizing:border-box;&quot;&gt;CSA Role Basics&amp;nbsp;&lt;/span&gt;&lt;span style=&quot;box-sizing:border-box;&quot;&gt;button'.&lt;/span&gt;&lt;/span&gt; &lt;/div&gt;&lt;div style=&quot;box-sizing:border-box;&quot;&gt;&lt;span style=&quot;box-sizing:border-box;&quot;&gt;&lt;span style=&quot;box-sizing:border-box;&quot;&gt;Step 4:&lt;span style=&quot;box-sizing:border-box;&quot;&gt;&amp;nbsp;&lt;/span&gt;&lt;/span&gt;&lt;span style=&quot;display:inline !important;&quot;&gt;Verify whether&amp;nbsp;Screen reader does not announce any information after activating 'Bookmark', 'Mark as complete' or 'Rate content' controls.&lt;/span&gt;&lt;br style=&quot;box-sizing:border-box;&quot;&gt;&lt;/span&gt; &lt;/div&gt;&lt;div style=&quot;box-sizing:border-box;&quot;&gt;&lt;span style=&quot;box-sizing:border-box;&quot;&gt;&lt;/span&gt; &lt;/div&gt;&lt;div style=&quot;box-sizing:border-box;&quot;&gt;&lt;span style=&quot;box-sizing:border-box;&quot;&gt;&lt;/span&gt; &lt;/div&gt;&lt;div style=&quot;box-sizing:border-box;&quot;&gt;&lt;span style=&quot;box-sizing:border-box;&quot;&gt;&lt;span style=&quot;box-sizing:border-box;font-family:Calibri, sans-serif;font-size:14.6667px;display:inline !important;&quot;&gt;&lt;span style=&quot;box-sizing:border-box;font-size:14px;display:inline !important;&quot;&gt;&lt;br style=&quot;box-sizing:border-box;&quot;&gt;&lt;/span&gt;&lt;/span&gt;&lt;/span&gt; &lt;/div&gt;&lt;/span&gt; &lt;/div&gt; &lt;/div&gt; &lt;/div&gt; &lt;/div&gt;&lt;div style=&quot;box-sizing:border-box;font-weight:400;&quot;&gt;&lt;div style=&quot;box-sizing:border-box;&quot;&gt;&lt;div style=&quot;box-sizing:border-box;&quot;&gt;&lt;b style=&quot;box-sizing:border-box;&quot;&gt;&lt;/b&gt; &lt;/div&gt; &lt;/div&gt; &lt;/div&gt;&lt;div style=&quot;box-sizing:border-box;font-weight:400;&quot;&gt;&lt;div style=&quot;box-sizing:border-box;&quot;&gt;&lt;div style=&quot;box-sizing:border-box;&quot;&gt;&lt;b style=&quot;box-sizing:border-box;&quot;&gt;Actual Result:&lt;/b&gt;&lt;br style=&quot;box-sizing:border-box;&quot;&gt; &lt;/div&gt; &lt;/div&gt; &lt;/div&gt;&lt;div style=&quot;box-sizing:border-box;font-weight:400;&quot;&gt; &lt;/div&gt;&lt;div style=&quot;box-sizing:border-box;font-weight:400;&quot;&gt;&lt;b style=&quot;box-sizing:border-box;&quot;&gt;&lt;span style=&quot;box-sizing:border-box;display:inline !important;&quot;&gt;&lt;/span&gt;&lt;/b&gt; &lt;/div&gt;&lt;div style=&quot;box-sizing:border-box;font-weight:400;&quot;&gt; &lt;/div&gt;&lt;div style=&quot;box-sizing:border-box;&quot;&gt;&lt;div style=&quot;font-weight:400;box-sizing:border-box;&quot;&gt; &lt;/div&gt; &lt;/div&gt;&lt;div style=&quot;box-sizing:border-box;&quot;&gt; &lt;/div&gt;&lt;div&gt;Screen reader does not announce any information after activating 'Bookmark', 'Mark as complete' or 'Rate content' controls. &lt;/div&gt;&lt;div style=&quot;box-sizing:border-box;&quot;&gt;&lt;span&gt;&lt;/span&gt; &lt;/div&gt;&lt;div&gt;&lt;b&gt;Observation:&lt;/b&gt;&amp;nbsp;Screen reader narrating as 'button &amp;nbsp; &amp;nbsp;Select to bookmark content,&amp;nbsp;&lt;span style=&quot;&quot;&gt;button &amp;nbsp; &amp;nbsp;Select to complete content,&amp;nbsp;&lt;/span&gt;&lt;span style=&quot;&quot;&gt;select to complete content button,&amp;nbsp;&lt;/span&gt;&lt;span style=&quot;&quot;&gt;Rate Content:&lt;/span&gt; &lt;/div&gt;&lt;div style=&quot;box-sizing:border-box;font-weight:400;&quot;&gt;&lt;div&gt;radio button not checked &amp;nbsp; &amp;nbsp;1 out of 5,&amp;nbsp;&lt;span style=&quot;&quot;&gt;1 out of 5 radio buttons not checked 1 of 5.&lt;/span&gt; &lt;/div&gt;&lt;span&gt;&lt;/span&gt;&lt;br style=&quot;box-sizing:border-box;&quot;&gt; &lt;/div&gt;&lt;div style=&quot;box-sizing:border-box;&quot;&gt;&lt;div style=&quot;font-weight:400;box-sizing:border-box;&quot;&gt; &lt;/div&gt;&lt;div style=&quot;box-sizing:border-box;&quot;&gt;&lt;b style=&quot;box-sizing:border-box;&quot;&gt;Expected Result:&lt;br style=&quot;box-sizing:border-box;&quot;&gt;&lt;/b&gt;&lt;div style=&quot;font-weight:400;box-sizing:border-box;&quot;&gt;&lt;div style=&quot;box-sizing:border-box;&quot;&gt;&lt;span style=&quot;display:inline !important;&quot;&gt;&lt;span style=&quot;display:inline !important;&quot;&gt;&lt;span style=&quot;font-family:&amp;quot;Segoe UI&amp;quot;, system-ui, &amp;quot;Apple Color Emoji&amp;quot;, &amp;quot;Segoe UI Emoji&amp;quot;, sans-serif;display:inline !important;&quot;&gt;&lt;/span&gt;&lt;/span&gt;&lt;/span&gt; &lt;/div&gt; &lt;/div&gt;Screen reader should announce the information of performed action after activating 'Bookmark', 'Mark as complete' or 'Rate content' controls.&lt;span style=&quot;box-sizing:border-box;display:inline !important;&quot;&gt;&lt;/span&gt;&lt;div style=&quot;box-sizing:border-box;&quot;&gt;&lt;div style=&quot;box-sizing:border-box;&quot;&gt;&lt;br style=&quot;box-sizing:border-box;&quot;&gt; &lt;/div&gt;&lt;div style=&quot;box-sizing:border-box;&quot;&gt;&lt;div style=&quot;box-sizing:border-box;font-family:&amp;quot;Segoe UI&amp;quot;, system-ui, &amp;quot;Apple Color Emoji&amp;quot;, &amp;quot;Segoe UI Emoji&amp;quot;, sans-serif;&quot;&gt;&lt;b style=&quot;box-sizing:border-box;&quot;&gt;&lt;/b&gt; &lt;/div&gt;&lt;div style=&quot;box-sizing:border-box;font-family:&amp;quot;Segoe UI&amp;quot;, system-ui, &amp;quot;Apple Color Emoji&amp;quot;, &amp;quot;Segoe UI Emoji&amp;quot;, sans-serif;&quot;&gt;&lt;div style=&quot;box-sizing:border-box;&quot;&gt;&lt;b style=&quot;box-sizing:border-box;&quot;&gt;&lt;/b&gt; &lt;/div&gt;&lt;div style=&quot;box-sizing:border-box;&quot;&gt;&lt;div style=&quot;box-sizing:border-box;&quot;&gt;&lt;b style=&quot;box-sizing:border-box;&quot;&gt;&lt;/b&gt; &lt;/div&gt;&lt;div style=&quot;box-sizing:border-box;&quot;&gt;&lt;div style=&quot;box-sizing:border-box;font-weight:400;&quot;&gt;&lt;b style=&quot;box-sizing:border-box;&quot;&gt;&lt;/b&gt; &lt;/div&gt;&lt;div style=&quot;box-sizing:border-box;font-weight:400;&quot;&gt;&lt;div style=&quot;box-sizing:border-box;&quot;&gt;&lt;b style=&quot;box-sizing:border-box;&quot;&gt;MAS Reference Link:&lt;/b&gt;&lt;br style=&quot;box-sizing:border-box;&quot;&gt; &lt;/div&gt;&lt;div style=&quot;box-sizing:border-box;&quot;&gt;&lt;a href=&quot;https://microsoft.sharepoint.com/teams/msenable/_layouts/15/WopiFrame.aspx?sourcedoc=%7b54f28d1f-a2d1-4dcd-84e1-5c9b87e8aba4%7d&quot; style=&quot;box-sizing:border-box;text-decoration:underline;cursor:pointer;&quot;&gt;MAS 1.3.1 - Info and Relationships&lt;/a&gt; &lt;/div&gt;&lt;div style=&quot;box-sizing:border-box;&quot;&gt;&amp;nbsp; &lt;/div&gt;&lt;div style=&quot;box-sizing:border-box;&quot;&gt;&lt;b style=&quot;box-sizing:border-box;&quot;&gt;WCAG Reference Link:&lt;/b&gt; &lt;/div&gt;&lt;div style=&quot;box-sizing:border-box;&quot;&gt;&lt;a href=&quot;https://www.w3.org/WAI/WCAG21/Understanding/info-and-relationships.html&quot; style=&quot;box-sizing:border-box;text-decoration:underline;cursor:pointer;&quot;&gt;https://www.w3.org/WAI/WCAG21/Understanding/info-and-relationships.html&lt;/a&gt; &lt;/div&gt; &lt;/div&gt; &lt;/div&gt; &lt;/div&gt; &lt;/div&gt; &lt;/div&gt; &lt;/div&gt; &lt;/div&gt; &lt;/div&gt;&lt;div&gt;&lt;div&gt; &lt;/div&gt; &lt;/div&gt;&lt;div style=&quot;box-sizing:border-box;font-weight:400;&quot;&gt;&lt;div style=&quot;box-sizing:border-box;&quot;&gt;&lt;div style=&quot;box-sizing:border-box;&quot;&gt;&lt;div style=&quot;box-sizing:border-box;&quot;&gt; &lt;/div&gt; &lt;/div&gt; &lt;/div&gt; &lt;/div&gt;"/>
    <s v="No"/>
    <x v="1"/>
    <s v="Priyanka Mangla "/>
  </r>
  <r>
    <n v="1517891"/>
    <s v="Bug"/>
    <s v="[Screen Readers - OLP Power Apps - Content page]: Ensures every form element has a label."/>
    <s v="New"/>
    <s v="Enrique Monsalve &lt;v-monsalvee@microsoft.com&gt;"/>
    <s v="No revisado"/>
    <m/>
    <s v="Completado"/>
    <s v="A11y-1STPARTY; A11yAuto; A11yMAS; A11yMASP3; CommonScreenReaders; HCL; HCL_OLP - MayJune FY22 New Update; K4W; MAS 4.1.2; NewBaselineAssessment; RecID_8303"/>
    <m/>
    <x v="1"/>
    <s v="&lt;div style=&quot;box-sizing:border-box;&quot;&gt;&lt;b&gt;&lt;/b&gt; &lt;/div&gt;&lt;div style=&quot;box-sizing:border-box;font-weight:400;&quot;&gt;&lt;b style=&quot;box-sizing:border-box;&quot;&gt;PWD Impact: -&lt;/b&gt;&lt;br style=&quot;box-sizing:border-box;&quot;&gt; &lt;/div&gt;&lt;div style=&quot;box-sizing:border-box;font-weight:400;&quot;&gt;&lt;span style=&quot;box-sizing:border-box;display:inline !important;&quot;&gt;&lt;span style=&quot;box-sizing:border-box;font-family:&amp;quot;Segoe UI&amp;quot;, sans-serif;display:inline !important;&quot;&gt;&lt;span style=&quot;box-sizing:border-box;display:inline !important;&quot;&gt;&lt;span style=&quot;display:inline !important;&quot;&gt;&lt;span style=&quot;display:inline !important;&quot;&gt;&lt;span style=&quot;display:inline !important;&quot;&gt;&lt;span style=&quot;&quot;&gt;A form control is an interactive HTML element used for user input. Form controls include buttons, checkboxes, text fields, color pickers, and more.&amp;nbsp;&lt;/span&gt;&lt;span style=&quot;&quot;&gt;An accessible name is a word or phrase coded in a way that assistive technologies can associate it with a specific user interface object. Assistive technologies can then refer to the object by its name, not just by type (role).&amp;nbsp;&lt;/span&gt;&lt;/span&gt;&lt;/span&gt;&lt;/span&gt;&lt;/span&gt;&lt;/span&gt;&lt;/span&gt;&lt;span style=&quot;&quot;&gt;When a form control doesn't have an accessible name, people who use assistive technologies have no way of knowing its specific purpose.&lt;/span&gt; &lt;/div&gt;&lt;div style=&quot;box-sizing:border-box;font-weight:400;&quot;&gt;&lt;br style=&quot;box-sizing:border-box;&quot;&gt; &lt;/div&gt;&lt;div style=&quot;box-sizing:border-box;font-weight:400;&quot;&gt;&lt;div style=&quot;box-sizing:border-box;&quot;&gt; &lt;/div&gt;&lt;div style=&quot;box-sizing:border-box;&quot;&gt;&lt;b style=&quot;box-sizing:border-box;font-family:&amp;quot;Segoe UI&amp;quot;, sans-serif;&quot;&gt;Test Environment:&lt;/b&gt;&lt;br style=&quot;box-sizing:border-box;&quot;&gt; &lt;/div&gt;&lt;div style=&quot;box-sizing:border-box;&quot;&gt; &lt;/div&gt; &lt;/div&gt;&lt;div style=&quot;box-sizing:border-box;font-weight:400;&quot;&gt; &lt;/div&gt;&lt;div style=&quot;box-sizing:border-box;font-weight:400;&quot;&gt; &lt;/div&gt;&lt;div style=&quot;box-sizing:border-box;font-weight:400;&quot;&gt; &lt;/div&gt;&lt;div style=&quot;box-sizing:border-box;font-weight:400;&quot;&gt; &lt;/div&gt;&lt;p style=&quot;box-sizing:border-box;font-weight:400;margin:0in;&quot;&gt; &lt;/p&gt;&lt;span style=&quot;box-sizing:border-box;font-weight:400;&quot;&gt;&lt;/span&gt;&lt;span style=&quot;box-sizing:border-box;font-weight:400;&quot;&gt;&lt;/span&gt;&lt;span style=&quot;box-sizing:border-box;font-weight:400;&quot;&gt;OS: Windows 11 [Version 21H2 (OS Build 22000.675)]&lt;br style=&quot;box-sizing:border-box;&quot;&gt;&lt;/span&gt;&lt;div style=&quot;box-sizing:border-box;font-weight:400;&quot;&gt;Browser: Edge Chromium (102.0.1245.30), Chrome (102.0.5005.63)&lt;br style=&quot;box-sizing:border-box;&quot;&gt; &lt;/div&gt;&lt;div style=&quot;box-sizing:border-box;font-weight:400;&quot;&gt;&lt;span style=&quot;display:inline !important;&quot;&gt;Tools: Accessibility Insights for Web&lt;/span&gt; &lt;/div&gt;&lt;div style=&quot;box-sizing:border-box;font-weight:400;&quot;&gt;&lt;span style=&quot;box-sizing:border-box;&quot;&gt;URL:&amp;nbsp;&lt;a href=&quot;https://apps.preview.powerapps.com/play/e/aa1775d6-89ae-47fb-b2cd-ebeb56163da6/a/347399e1-18ec-4002-aa22-c0285a367aaf?tenantId=72f988bf-86f1-41af-91ab-2d7cd011db47&quot;&gt;Onboarding App - Content - Power Apps&lt;/a&gt;&lt;/span&gt;&lt;br style=&quot;box-sizing:border-box;&quot;&gt; &lt;/div&gt;&lt;span style=&quot;box-sizing:border-box;font-weight:400;&quot;&gt;&lt;/span&gt;&lt;div style=&quot;box-sizing:border-box;font-weight:400;&quot;&gt; &lt;/div&gt;&lt;div style=&quot;box-sizing:border-box;font-weight:400;&quot;&gt; &lt;/div&gt;&lt;div style=&quot;box-sizing:border-box;font-weight:400;&quot;&gt;&lt;br&gt; &lt;/div&gt;&lt;div style=&quot;box-sizing:border-box;font-weight:400;&quot;&gt; &lt;/div&gt;&lt;div style=&quot;box-sizing:border-box;font-weight:400;&quot;&gt;&lt;p style=&quot;box-sizing:border-box;margin:0in;&quot;&gt;&lt;b style=&quot;box-sizing:border-box;&quot;&gt;Repro Steps:&lt;/b&gt;&lt;br style=&quot;box-sizing:border-box;&quot;&gt; &lt;/p&gt; &lt;/div&gt;&lt;div style=&quot;box-sizing:border-box;font-weight:400;&quot;&gt;&lt;div style=&quot;box-sizing:border-box;&quot;&gt;&lt;div style=&quot;box-sizing:border-box;&quot;&gt;&lt;div style=&quot;box-sizing:border-box;&quot;&gt;&lt;span style=&quot;box-sizing:border-box;&quot;&gt;&lt;div style=&quot;box-sizing:border-box;&quot;&gt; &lt;/div&gt;&lt;div style=&quot;box-sizing:border-box;&quot;&gt; &lt;/div&gt;&lt;div style=&quot;box-sizing:border-box;&quot;&gt; &lt;/div&gt;&lt;div style=&quot;box-sizing:border-box;&quot;&gt;Step 1:&lt;span style=&quot;box-sizing:border-box;&quot;&gt;&amp;nbsp;&lt;/span&gt;&lt;span style=&quot;box-sizing:border-box;color:rgb(36, 36, 36);font-family:-apple-system, BlinkMacSystemFont, &amp;quot;Segoe UI&amp;quot;, &amp;quot;Apple Color Emoji&amp;quot;, &amp;quot;Segoe UI Emoji&amp;quot;, &amp;quot;Segoe UI Web&amp;quot;, sans-serif;display:inline !important;&quot;&gt;Open the above URL in Edge Chromium Browser or chrome browser.&lt;/span&gt;&lt;span style=&quot;box-sizing:border-box;display:inline !important;&quot;&gt;&lt;/span&gt; &lt;/div&gt;&lt;/span&gt; &lt;/div&gt; &lt;/div&gt; &lt;/div&gt; &lt;/div&gt;&lt;div&gt;Step 2: 'Onboarding App - Content - Power Apps' page will appear.&amp;nbsp; &lt;/div&gt;&lt;div&gt;&lt;div&gt;Step 3: Navigate to the ‘CSA Role Basics&amp;nbsp;button'&amp;nbsp;and activate&amp;nbsp;it-&amp;gt;&amp;nbsp;Navigate to the&amp;nbsp;Azure Landing Zones and activate it dialog&lt;span style=&quot;display:inline !important;&quot;&gt;&lt;span&gt;&amp;nbsp;&lt;/span&gt;page will appear.&amp;gt; Run Accessibility insights for web tool.&lt;/span&gt; &lt;/div&gt; &lt;/div&gt;&lt;div style=&quot;box-sizing:border-box;&quot;&gt;&lt;div style=&quot;box-sizing:border-box;&quot;&gt;&lt;div style=&quot;box-sizing:border-box;&quot;&gt;&lt;div style=&quot;box-sizing:border-box;&quot;&gt;&lt;span style=&quot;box-sizing:border-box;&quot;&gt;&lt;div style=&quot;font-weight:400;box-sizing:border-box;&quot;&gt;&lt;span style=&quot;box-sizing:border-box;&quot;&gt;&lt;span style=&quot;box-sizing:border-box;&quot;&gt;Step 4:&lt;span style=&quot;box-sizing:border-box;&quot;&gt;&amp;nbsp;&lt;/span&gt;&lt;/span&gt;&lt;span style=&quot;display:inline !important;&quot;&gt;Verify whether Ensures every form element has a label&amp;nbsp;or&lt;/span&gt;&amp;nbsp;not.&lt;br style=&quot;box-sizing:border-box;&quot;&gt;&lt;/span&gt; &lt;/div&gt;&lt;div style=&quot;font-weight:400;box-sizing:border-box;&quot;&gt;&lt;span style=&quot;box-sizing:border-box;&quot;&gt;&lt;/span&gt; &lt;/div&gt;&lt;div style=&quot;font-weight:400;box-sizing:border-box;&quot;&gt;&lt;span style=&quot;box-sizing:border-box;&quot;&gt;&lt;/span&gt; &lt;/div&gt;&lt;div style=&quot;font-weight:400;box-sizing:border-box;&quot;&gt;&lt;span style=&quot;box-sizing:border-box;&quot;&gt;&lt;span style=&quot;box-sizing:border-box;font-family:Calibri, sans-serif;font-size:14.6667px;display:inline !important;&quot;&gt;&lt;span style=&quot;box-sizing:border-box;font-size:14px;display:inline !important;&quot;&gt;&lt;br style=&quot;box-sizing:border-box;&quot;&gt;&lt;/span&gt;&lt;/span&gt;&lt;/span&gt; &lt;/div&gt;&lt;/span&gt; &lt;/div&gt; &lt;/div&gt; &lt;/div&gt; &lt;/div&gt;&lt;div style=&quot;box-sizing:border-box;font-weight:400;&quot;&gt;&lt;div style=&quot;box-sizing:border-box;&quot;&gt;&lt;div style=&quot;box-sizing:border-box;&quot;&gt;&lt;b style=&quot;box-sizing:border-box;&quot;&gt;&lt;/b&gt; &lt;/div&gt; &lt;/div&gt; &lt;/div&gt;&lt;div style=&quot;box-sizing:border-box;font-weight:400;&quot;&gt;&lt;div style=&quot;box-sizing:border-box;&quot;&gt;&lt;div style=&quot;box-sizing:border-box;&quot;&gt;&lt;b style=&quot;box-sizing:border-box;&quot;&gt;Actual Result:&lt;/b&gt;&lt;br style=&quot;box-sizing:border-box;&quot;&gt; &lt;/div&gt; &lt;/div&gt; &lt;/div&gt;&lt;div style=&quot;box-sizing:border-box;font-weight:400;&quot;&gt; &lt;/div&gt;&lt;div style=&quot;box-sizing:border-box;font-weight:400;&quot;&gt;&lt;b style=&quot;box-sizing:border-box;&quot;&gt;&lt;span style=&quot;box-sizing:border-box;display:inline !important;&quot;&gt;&lt;/span&gt;&lt;/b&gt; &lt;/div&gt;&lt;div style=&quot;box-sizing:border-box;font-weight:400;&quot;&gt; &lt;/div&gt;&lt;div style=&quot;box-sizing:border-box;&quot;&gt;&lt;div style=&quot;font-weight:400;box-sizing:border-box;&quot;&gt; &lt;/div&gt; &lt;/div&gt;&lt;div style=&quot;box-sizing:border-box;&quot;&gt; &lt;/div&gt;&lt;span style=&quot;display:inline !important;&quot;&gt;Form elements do not have label.&lt;/span&gt;&lt;div&gt;&lt;br&gt;&lt;div&gt;&lt;div&gt;&lt;span style=&quot;&quot;&gt;&lt;b&gt;Path&lt;/b&gt;&lt;/span&gt;&lt;span style=&quot;font-weight:600;&quot;&gt;:&amp;nbsp;&lt;/span&gt;&lt;span style=&quot;&quot;&gt;#fullscreen-app-host;.appmagic-text&lt;/span&gt; &lt;/div&gt;&lt;div&gt;&lt;span style=&quot;&quot;&gt;&lt;span style=&quot;color:rgba(0, 0, 0, 0.9);text-align:left;display:inline !important;&quot;&gt;&lt;b&gt;Snippet:&lt;/b&gt;&lt;/span&gt;&lt;span style=&quot;color:rgba(0, 0, 0, 0.9);font-weight:600;text-align:left;display:inline !important;&quot;&gt;&amp;nbsp;&lt;span style=&quot;color:rgba(0, 0, 0, 0.7);font-family:menlo, consolas, &amp;quot;courier new&amp;quot;, monospace;font-weight:400;text-align:start;display:inline !important;&quot;&gt;&amp;lt;input appmagic-control=&amp;quot;TextInput1_1textbox&amp;quot; class=&amp;quot;appmagic-text mousetrap block-undo-redo readonly&amp;quot; data-bind=&amp;quot; attr: { type: mode() === 'password' ? 'password' : 'text', title: properties.Tooltip() || null, 'aria-label': properties.AccessibleLabel() || null, placeholder: properties.HintText, readonly: viewState.displayMode() === AppMagic.Constants.DisplayMode.View, 'data-control-part': properties.Clear() ? 'text clearable' : 'text', inputmode: keyboardMode, maxlength: properties.MaxLength() &amp;lt; 0 ? 0 : properties.MaxLength() }, css: { underline: properties.Underline, strikethrough: properties.Strikethrough, readonly: viewState.displayMode() === AppMagic.Constants.DisplayMode.View }, value: text, event: { click: handleClick, change: handleOnChange }, style: { fontFamily: properties.Font, fontSize: properties.Size, color: autoProperties.Color, fontWeight: properties.FontWeight, fontStyle: properties.Italic, textAlign: properties.Align, lineHeight: properties.LineHeight, paddingTop: properties.PaddingTop, paddingRight: properties.PaddingRight, paddingBottom: properties.PaddingBottom, paddingLeft: properties.PaddingLeft }, disable: viewState.displayMode() === AppMagic.Constants.DisplayMode.Disabled&amp;quot; type=&amp;quot;text&amp;quot; placeholder=&amp;quot;&amp;quot; readonly=&amp;quot;true&amp;quot; data-control-part=&amp;quot;text&amp;quot; inputmode=&amp;quot;text&amp;quot; tabindex=&amp;quot;-1&amp;quot; style=&amp;quot;font-family: &amp;amp;quot;Segoe UI&amp;amp;quot;, &amp;amp;quot;Open Sans&amp;amp;quot;, sans-serif; font-size: 9pt; color: rgb(81, 81, 81); font-weight: 600; font-style: normal; text-align: left; line-height: 1.2; padding: 6px 10px 6px 8px;&amp;quot;&amp;gt;&lt;/span&gt;&lt;/span&gt;&lt;br&gt;&lt;/span&gt; &lt;/div&gt;&lt;div&gt;&lt;span style=&quot;&quot;&gt;&lt;span style=&quot;color:rgba(0, 0, 0, 0.9);text-align:left;display:inline !important;&quot;&gt;&lt;span style=&quot;color:rgba(0, 0, 0, 0.7);font-family:menlo, consolas, &amp;quot;courier new&amp;quot;, monospace;text-align:start;display:inline !important;&quot;&gt;&lt;span style=&quot;color:rgba(0, 0, 0, 0.9);text-align:left;display:inline !important;&quot;&gt;&lt;b&gt;How to fix&lt;/b&gt;&lt;/span&gt;&lt;br&gt;&lt;/span&gt;&lt;/span&gt;&lt;/span&gt; &lt;/div&gt; &lt;/div&gt; &lt;/div&gt;&lt;div&gt;&lt;div&gt;Fix ONE of the following: &lt;/div&gt;&lt;div&gt;Form element does not have an implicit (wrapped) &amp;lt;label&amp;gt; &lt;/div&gt;&lt;div&gt;Form element does not have an explicit &amp;lt;label&amp;gt; &lt;/div&gt;&lt;div&gt;aria-label attribute does not exist or is empty &lt;/div&gt;&lt;div&gt;aria-labelledby attribute does not exist, references elements that do not exist or references elements that are empty &lt;/div&gt;&lt;div&gt;Element has no title attribute &lt;/div&gt;&lt;div&gt;Element has an empty placeholder attribute &lt;/div&gt;&lt;div&gt;Element's default semantics were not overridden with role=&amp;quot;none&amp;quot; or role=&amp;quot;presentation&amp;quot; &lt;/div&gt; &lt;/div&gt;&lt;div&gt;&lt;div&gt;&lt;div&gt;&lt;span style=&quot;font-weight:600;&quot;&gt;&lt;span style=&quot;font-weight:400;display:inline !important;&quot;&gt;&lt;br&gt;&lt;/span&gt;&lt;/span&gt; &lt;/div&gt;&lt;div&gt;&lt;span style=&quot;font-weight:600;&quot;&gt;&lt;span style=&quot;font-weight:400;display:inline !important;&quot;&gt;&lt;br&gt;&lt;/span&gt;&lt;/span&gt; &lt;/div&gt;&lt;div&gt;&lt;table style=&quot;display:table;table-layout:fixed;width:-webkit-fill-available;border-collapse:collapse;word-break:break-word;&quot;&gt;&lt;tbody&gt;&lt;/tbody&gt;&lt;/table&gt;&lt;div style=&quot;box-sizing:border-box;&quot;&gt;&lt;div style=&quot;font-weight:400;box-sizing:border-box;&quot;&gt; &lt;/div&gt;&lt;div style=&quot;box-sizing:border-box;&quot;&gt;&lt;b style=&quot;box-sizing:border-box;&quot;&gt;Expected Result:&lt;br style=&quot;box-sizing:border-box;&quot;&gt;&lt;/b&gt;&lt;div style=&quot;font-weight:400;box-sizing:border-box;&quot;&gt;&lt;div style=&quot;box-sizing:border-box;&quot;&gt;&lt;span style=&quot;display:inline !important;&quot;&gt;&lt;span style=&quot;display:inline !important;&quot;&gt;&lt;span style=&quot;font-family:&amp;quot;Segoe UI&amp;quot;, system-ui, &amp;quot;Apple Color Emoji&amp;quot;, &amp;quot;Segoe UI Emoji&amp;quot;, sans-serif;display:inline !important;&quot;&gt;&lt;/span&gt;&lt;/span&gt;&lt;/span&gt; &lt;/div&gt; &lt;/div&gt;&lt;span style=&quot;display:inline !important;&quot;&gt;Ensures every form element has a label or if there is a label then it should be programmatically associated.&lt;/span&gt;&lt;div style=&quot;box-sizing:border-box;&quot;&gt;&lt;div style=&quot;box-sizing:border-box;&quot;&gt;&lt;span style=&quot;box-sizing:border-box;display:inline !important;&quot;&gt;&lt;br&gt;&lt;/span&gt; &lt;/div&gt; &lt;/div&gt; &lt;/div&gt; &lt;/div&gt;&lt;div style=&quot;box-sizing:border-box;font-weight:400;&quot;&gt;&lt;div style=&quot;box-sizing:border-box;&quot;&gt;&lt;div style=&quot;box-sizing:border-box;&quot;&gt;&lt;div style=&quot;box-sizing:border-box;&quot;&gt;&lt;span style=&quot;box-sizing:border-box;font-weight:bold;&quot;&gt;&lt;div style=&quot;box-sizing:border-box;font-weight:400;&quot;&gt;&lt;div style=&quot;box-sizing:border-box;&quot;&gt;&lt;b style=&quot;box-sizing:border-box;&quot;&gt;MAS Reference Link:&lt;/b&gt; &lt;/div&gt; &lt;/div&gt;&lt;/span&gt; &lt;/div&gt; &lt;/div&gt; &lt;/div&gt; &lt;/div&gt;&lt;div&gt;&lt;div&gt;&lt;div style=&quot;box-sizing:border-box;&quot;&gt;&lt;a href=&quot;https://microsoft.sharepoint.com/:w:/s/accessibility/EXTXYbbQYHdCoSFz-Ybr7nYBBral6s8qIHeXupQiG7jixw?e=GkZwHJ&quot; style=&quot;box-sizing:border-box;text-decoration:underline;&quot;&gt;MAS 4.1.2 - Name, Role, Value&lt;/a&gt;&lt;br style=&quot;box-sizing:border-box;&quot;&gt; &lt;/div&gt;&lt;div style=&quot;box-sizing:border-box;&quot;&gt;&lt;br style=&quot;box-sizing:border-box;&quot;&gt; &lt;/div&gt;&lt;div style=&quot;box-sizing:border-box;&quot;&gt; &lt;/div&gt;&lt;div style=&quot;box-sizing:border-box;&quot;&gt;&lt;b style=&quot;box-sizing:border-box;&quot;&gt;WCAG Reference Link:&lt;/b&gt; &lt;/div&gt;&lt;div style=&quot;box-sizing:border-box;&quot;&gt;&lt;a href=&quot;https://nam06.safelinks.protection.outlook.com/?url=https://www.w3.org/WAI/WCAG21/Understanding/name-role-value.html&amp;amp;data=02%7c01%7cv-kayar%40microsoft.com%7c3359500834d4489aaabd08d7d191365a%7c72f988bf86f141af91ab2d7cd011db47%7c1%7c0%7c637208293918024148&amp;amp;sdata=JUqrzGbG5g6soaj79M/%2BbD%2BX8tAGr2YzHGFYsCUQkCw%3D&amp;amp;reserved=0&quot; style=&quot;box-sizing:border-box;text-decoration:underline;&quot;&gt;https://www.w3.org/WAI/WCAG21/Understanding/name-role-value.html&lt;/a&gt; &lt;/div&gt; &lt;/div&gt; &lt;/div&gt;&lt;div style=&quot;box-sizing:border-box;font-weight:400;&quot;&gt;&lt;div style=&quot;box-sizing:border-box;&quot;&gt;&lt;div style=&quot;box-sizing:border-box;&quot;&gt;&lt;div style=&quot;box-sizing:border-box;&quot;&gt; &lt;/div&gt; &lt;/div&gt; &lt;/div&gt; &lt;/div&gt; &lt;/div&gt; &lt;/div&gt; &lt;/div&gt;"/>
    <s v="Si"/>
    <x v="0"/>
    <s v="Enrique Monsalve "/>
  </r>
  <r>
    <n v="1518005"/>
    <s v="Bug"/>
    <s v="[Screen Readers - OLP Power Apps - Content page]: Screen Reader focus (NVDA/JAWS) is unnecessarily moving to the hidden control i.e. staring of the page upon invoking 'Filter' control while navigating in browse or VPC mode."/>
    <s v="New"/>
    <s v="Enrique Monsalve &lt;v-monsalvee@microsoft.com&gt;"/>
    <s v="No revisado"/>
    <m/>
    <s v="Completado"/>
    <s v="A11y-1STPARTY; A11yMAS; A11yMASP3; CommonScreenReaders; HCL; HCL_OLP - MayJune FY22 New Update; MAS 4.2.10; NewBaselineAssessment; RecID_8303"/>
    <m/>
    <x v="0"/>
    <s v="&lt;div style=&quot;box-sizing:border-box;&quot;&gt;&lt;b&gt;&lt;/b&gt; &lt;/div&gt;&lt;div style=&quot;box-sizing:border-box;font-weight:400;&quot;&gt;&lt;b style=&quot;box-sizing:border-box;&quot;&gt;PWD Impact: -&lt;/b&gt;&lt;br style=&quot;box-sizing:border-box;&quot;&gt; &lt;/div&gt;&lt;div style=&quot;box-sizing:border-box;font-weight:400;&quot;&gt;&lt;span style=&quot;box-sizing:border-box;display:inline !important;&quot;&gt;&lt;span style=&quot;box-sizing:border-box;font-family:&amp;quot;Segoe UI&amp;quot;, sans-serif;display:inline !important;&quot;&gt;&lt;span style=&quot;box-sizing:border-box;display:inline !important;&quot;&gt;&lt;span style=&quot;display:inline !important;&quot;&gt;&lt;span style=&quot;display:inline !important;&quot;&gt;&lt;span style=&quot;display:inline !important;&quot;&gt;Users who have visual disability and depend on a screen reader for navigation will be impacted as&amp;nbsp;&lt;/span&gt;&lt;/span&gt;&lt;/span&gt;&lt;/span&gt;&lt;/span&gt;&lt;/span&gt;&lt;span&gt;Screen Reader focus (NVDA/JAWS) is unnecessarily moving to the hidden control i.e. staring of the page upon invoking 'Filter' control while navigating in browse or VPC mode.&lt;/span&gt; &lt;/div&gt;&lt;div style=&quot;box-sizing:border-box;font-weight:400;&quot;&gt;&lt;span&gt;&lt;br&gt;&lt;/span&gt; &lt;/div&gt;&lt;div style=&quot;box-sizing:border-box;font-weight:400;&quot;&gt;&lt;div style=&quot;box-sizing:border-box;&quot;&gt; &lt;/div&gt;&lt;div style=&quot;box-sizing:border-box;&quot;&gt;&lt;b style=&quot;box-sizing:border-box;font-family:&amp;quot;Segoe UI&amp;quot;, sans-serif;&quot;&gt;Test Environment:&lt;/b&gt;&lt;br style=&quot;box-sizing:border-box;&quot;&gt; &lt;/div&gt;&lt;div style=&quot;box-sizing:border-box;&quot;&gt; &lt;/div&gt; &lt;/div&gt;&lt;div style=&quot;box-sizing:border-box;font-weight:400;&quot;&gt; &lt;/div&gt;&lt;div style=&quot;box-sizing:border-box;font-weight:400;&quot;&gt; &lt;/div&gt;&lt;div style=&quot;box-sizing:border-box;font-weight:400;&quot;&gt; &lt;/div&gt;&lt;div style=&quot;box-sizing:border-box;font-weight:400;&quot;&gt; &lt;/div&gt;&lt;p style=&quot;box-sizing:border-box;font-weight:400;margin:0in;&quot;&gt; &lt;/p&gt;&lt;span style=&quot;box-sizing:border-box;font-weight:400;&quot;&gt;&lt;/span&gt;&lt;span style=&quot;box-sizing:border-box;font-weight:400;&quot;&gt;&lt;/span&gt;&lt;span style=&quot;box-sizing:border-box;font-weight:400;&quot;&gt;OS: Windows 11 [Version 21H2 (OS Build 22000.675)]&lt;br style=&quot;box-sizing:border-box;&quot;&gt;&lt;/span&gt;&lt;div style=&quot;box-sizing:border-box;font-weight:400;&quot;&gt;Browser: Edge Chromium (102.0.1245.30), Chrome (102.0.5005.63)&lt;br style=&quot;box-sizing:border-box;&quot;&gt; &lt;/div&gt;&lt;div style=&quot;box-sizing:border-box;font-weight:400;&quot;&gt;Screen readers: NVDA (2022.1), JAWS (2022.2204.20) &lt;/div&gt;&lt;div style=&quot;box-sizing:border-box;font-weight:400;&quot;&gt;&lt;span style=&quot;box-sizing:border-box;&quot;&gt;URL:&amp;nbsp;&lt;a href=&quot;https://apps.preview.powerapps.com/play/e/aa1775d6-89ae-47fb-b2cd-ebeb56163da6/a/347399e1-18ec-4002-aa22-c0285a367aaf?tenantId=72f988bf-86f1-41af-91ab-2d7cd011db47&quot;&gt;Onboarding App - Content - Power Apps&lt;/a&gt;&lt;/span&gt;&lt;br style=&quot;box-sizing:border-box;&quot;&gt; &lt;/div&gt;&lt;span style=&quot;box-sizing:border-box;font-weight:400;&quot;&gt;&lt;/span&gt;&lt;div style=&quot;box-sizing:border-box;font-weight:400;&quot;&gt; &lt;/div&gt;&lt;div style=&quot;box-sizing:border-box;font-weight:400;&quot;&gt; &lt;/div&gt;&lt;div style=&quot;box-sizing:border-box;font-weight:400;&quot;&gt;&lt;br style=&quot;box-sizing:border-box;&quot;&gt; &lt;/div&gt;&lt;div style=&quot;box-sizing:border-box;font-weight:400;&quot;&gt;&lt;span style=&quot;box-sizing:border-box;&quot;&gt;&lt;b style=&quot;box-sizing:border-box;&quot;&gt;Prerequisite:&lt;/b&gt;&lt;/span&gt; &lt;/div&gt;&lt;div style=&quot;box-sizing:border-box;font-weight:400;&quot;&gt;&lt;span style=&quot;box-sizing:border-box;&quot;&gt;Turn on NVDA/JAWS. Enable browse mode using 'insert+space'/'insert+Z' key.&lt;/span&gt;&lt;span style=&quot;box-sizing:border-box;&quot;&gt;&lt;b style=&quot;box-sizing:border-box;&quot;&gt;&lt;br style=&quot;box-sizing:border-box;&quot;&gt;&lt;/b&gt;&lt;/span&gt; &lt;/div&gt;&lt;div style=&quot;box-sizing:border-box;font-weight:400;&quot;&gt;&lt;span style=&quot;box-sizing:border-box;&quot;&gt;&lt;br style=&quot;box-sizing:border-box;&quot;&gt;&lt;/span&gt; &lt;/div&gt;&lt;div style=&quot;box-sizing:border-box;font-weight:400;&quot;&gt;&lt;p style=&quot;box-sizing:border-box;margin:0in;&quot;&gt;&lt;b style=&quot;box-sizing:border-box;&quot;&gt;Repro Steps:&lt;/b&gt;&lt;br style=&quot;box-sizing:border-box;&quot;&gt; &lt;/p&gt; &lt;/div&gt;&lt;div style=&quot;box-sizing:border-box;font-weight:400;&quot;&gt;&lt;div style=&quot;box-sizing:border-box;&quot;&gt;&lt;div style=&quot;box-sizing:border-box;&quot;&gt;&lt;div style=&quot;box-sizing:border-box;&quot;&gt;&lt;span style=&quot;box-sizing:border-box;&quot;&gt;&lt;div style=&quot;box-sizing:border-box;&quot;&gt; &lt;/div&gt;&lt;div style=&quot;box-sizing:border-box;&quot;&gt; &lt;/div&gt;&lt;div style=&quot;box-sizing:border-box;&quot;&gt; &lt;/div&gt;&lt;div style=&quot;box-sizing:border-box;&quot;&gt;Step 1:&lt;span style=&quot;box-sizing:border-box;&quot;&gt;&amp;nbsp;&lt;/span&gt;&lt;span style=&quot;box-sizing:border-box;color:rgb(36, 36, 36);font-family:-apple-system, BlinkMacSystemFont, &amp;quot;Segoe UI&amp;quot;, &amp;quot;Apple Color Emoji&amp;quot;, &amp;quot;Segoe UI Emoji&amp;quot;, &amp;quot;Segoe UI Web&amp;quot;, sans-serif;display:inline !important;&quot;&gt;Open the above URL in Edge Chromium Browser or chrome browser.&lt;/span&gt;&lt;span style=&quot;box-sizing:border-box;display:inline !important;&quot;&gt;&lt;/span&gt; &lt;/div&gt;&lt;/span&gt; &lt;/div&gt; &lt;/div&gt; &lt;/div&gt; &lt;/div&gt;&lt;div&gt;Step 2: 'Onboarding App - Content - Power Apps' page will appear.&amp;nbsp; &lt;/div&gt;&lt;div style=&quot;box-sizing:border-box;font-weight:400;&quot;&gt;&lt;div style=&quot;box-sizing:border-box;&quot;&gt;&lt;div style=&quot;box-sizing:border-box;&quot;&gt;&lt;div style=&quot;box-sizing:border-box;&quot;&gt;&lt;span style=&quot;box-sizing:border-box;&quot;&gt;&lt;div style=&quot;box-sizing:border-box;&quot;&gt;Step 3: &lt;span style=&quot;display:inline !important;&quot;&gt;Navigate and activate 'Filter' control in browse mode.&lt;/span&gt; &lt;/div&gt;&lt;div style=&quot;box-sizing:border-box;&quot;&gt;&lt;span style=&quot;box-sizing:border-box;&quot;&gt;&lt;span style=&quot;box-sizing:border-box;&quot;&gt;Step 4:&lt;span style=&quot;box-sizing:border-box;&quot;&gt;&amp;nbsp;&lt;/span&gt;&lt;/span&gt;&lt;span style=&quot;display:inline !important;&quot;&gt;Verify whether Screen Reader focus (NVDA/JAWS) is unnecessarily moving to the hidden control i.e. staring of the page upon invoking 'Filter' control while navigating in browse or VPC mode&amp;nbsp;or&lt;/span&gt;&amp;nbsp;not.&lt;br style=&quot;box-sizing:border-box;&quot;&gt;&lt;/span&gt; &lt;/div&gt;&lt;div style=&quot;box-sizing:border-box;&quot;&gt;&lt;span style=&quot;box-sizing:border-box;&quot;&gt;&lt;/span&gt; &lt;/div&gt;&lt;div style=&quot;box-sizing:border-box;&quot;&gt;&lt;span style=&quot;box-sizing:border-box;&quot;&gt;&lt;/span&gt; &lt;/div&gt;&lt;div style=&quot;box-sizing:border-box;&quot;&gt;&lt;span style=&quot;box-sizing:border-box;&quot;&gt;&lt;span style=&quot;box-sizing:border-box;font-family:Calibri, sans-serif;font-size:14.6667px;display:inline !important;&quot;&gt;&lt;span style=&quot;box-sizing:border-box;font-size:14px;display:inline !important;&quot;&gt;&lt;br style=&quot;box-sizing:border-box;&quot;&gt;&lt;/span&gt;&lt;/span&gt;&lt;/span&gt; &lt;/div&gt;&lt;/span&gt; &lt;/div&gt; &lt;/div&gt; &lt;/div&gt; &lt;/div&gt;&lt;div style=&quot;box-sizing:border-box;font-weight:400;&quot;&gt;&lt;div style=&quot;box-sizing:border-box;&quot;&gt;&lt;div style=&quot;box-sizing:border-box;&quot;&gt;&lt;b style=&quot;box-sizing:border-box;&quot;&gt;&lt;/b&gt; &lt;/div&gt; &lt;/div&gt; &lt;/div&gt;&lt;div style=&quot;box-sizing:border-box;font-weight:400;&quot;&gt;&lt;div style=&quot;box-sizing:border-box;&quot;&gt;&lt;div style=&quot;box-sizing:border-box;&quot;&gt;&lt;b style=&quot;box-sizing:border-box;&quot;&gt;Actual Result:&lt;/b&gt;&lt;br style=&quot;box-sizing:border-box;&quot;&gt; &lt;/div&gt; &lt;/div&gt; &lt;/div&gt;&lt;div style=&quot;box-sizing:border-box;font-weight:400;&quot;&gt; &lt;/div&gt;&lt;div style=&quot;box-sizing:border-box;font-weight:400;&quot;&gt;&lt;b style=&quot;box-sizing:border-box;&quot;&gt;&lt;span style=&quot;box-sizing:border-box;display:inline !important;&quot;&gt;&lt;/span&gt;&lt;/b&gt; &lt;/div&gt;&lt;div style=&quot;box-sizing:border-box;font-weight:400;&quot;&gt; &lt;/div&gt;&lt;div style=&quot;box-sizing:border-box;&quot;&gt;&lt;div style=&quot;font-weight:400;box-sizing:border-box;&quot;&gt; &lt;/div&gt; &lt;/div&gt;&lt;div style=&quot;box-sizing:border-box;&quot;&gt;Screen Reader focus (NVDA/JAWS) is unnecessarily moving to the hidden control i.e. staring of the page upon invoking 'Filter' control while navigating in browse or VPC mode. &lt;/div&gt;&lt;div style=&quot;box-sizing:border-box;&quot;&gt;&lt;b style=&quot;box-sizing:border-box;&quot;&gt;Observation:&lt;/b&gt;&lt;span&gt;&amp;nbsp;&lt;/span&gt; &lt;/div&gt;&lt;div style=&quot;box-sizing:border-box;&quot;&gt;&lt;span&gt;NVDA focus is moving to the starting of the page and does not narrate anything keep on silent upon invoking 'Filter' control.&lt;/span&gt; &lt;/div&gt;&lt;div&gt;JAWS focus is moving to the hidden element i.e. starting of the page and narrates as 'SCRN_ContentUpdated_Final' while navigating in VPC mode. &lt;/div&gt;&lt;div style=&quot;box-sizing:border-box;font-weight:400;&quot;&gt;&lt;br style=&quot;box-sizing:border-box;&quot;&gt; &lt;/div&gt;&lt;div style=&quot;box-sizing:border-box;&quot;&gt;&lt;div style=&quot;font-weight:400;box-sizing:border-box;&quot;&gt; &lt;/div&gt;&lt;div style=&quot;box-sizing:border-box;&quot;&gt;&lt;b style=&quot;box-sizing:border-box;&quot;&gt;Expected Result:&lt;br style=&quot;box-sizing:border-box;&quot;&gt;&lt;/b&gt;&lt;div style=&quot;font-weight:400;box-sizing:border-box;&quot;&gt;&lt;div style=&quot;box-sizing:border-box;&quot;&gt;&lt;span style=&quot;display:inline !important;&quot;&gt;&lt;span style=&quot;display:inline !important;&quot;&gt;Screen Reader focus (NVDA/JAWS) should not move the hidden control i.e. staring of the page upon invoking 'Filter' control while navigating in browse or VPC mode.&lt;/span&gt;&lt;/span&gt; &lt;/div&gt; &lt;/div&gt;&lt;div style=&quot;box-sizing:border-box;&quot;&gt;&lt;div style=&quot;box-sizing:border-box;&quot;&gt;&lt;b&gt;Ex: &lt;/b&gt;Screen reader (NVDA/JAWS) focus should not move to the starting of the page and screen reader(NVDA/JAWS) focus should move to the 'Modality' and narrates as 'Modality' while navigating in browse/VPC mode. &lt;/div&gt;&lt;div style=&quot;box-sizing:border-box;&quot;&gt;&lt;span style=&quot;box-sizing:border-box;display:inline !important;&quot;&gt;&lt;br&gt;&lt;/span&gt; &lt;/div&gt; &lt;/div&gt; &lt;/div&gt; &lt;/div&gt;&lt;div style=&quot;box-sizing:border-box;font-weight:400;&quot;&gt;&lt;div style=&quot;box-sizing:border-box;&quot;&gt;&lt;div style=&quot;box-sizing:border-box;&quot;&gt;&lt;div style=&quot;box-sizing:border-box;&quot;&gt;&lt;span style=&quot;box-sizing:border-box;font-weight:bold;&quot;&gt;&lt;div style=&quot;box-sizing:border-box;font-weight:400;&quot;&gt;&lt;div style=&quot;box-sizing:border-box;&quot;&gt;&lt;b style=&quot;box-sizing:border-box;&quot;&gt;&lt;/b&gt; &lt;/div&gt;&lt;div style=&quot;box-sizing:border-box;&quot;&gt;&lt;div style=&quot;box-sizing:border-box;font-family:&amp;quot;Segoe UI&amp;quot;, system-ui, &amp;quot;Apple Color Emoji&amp;quot;, &amp;quot;Segoe UI Emoji&amp;quot;, sans-serif;&quot;&gt;&lt;b style=&quot;box-sizing:border-box;&quot;&gt;MAS Reference:&lt;/b&gt; &lt;/div&gt;&lt;div style=&quot;box-sizing:border-box;font-family:&amp;quot;Segoe UI&amp;quot;, system-ui, &amp;quot;Apple Color Emoji&amp;quot;, &amp;quot;Segoe UI Emoji&amp;quot;, sans-serif;&quot;&gt;&lt;a href=&quot;https://microsoft.sharepoint.com/:w:/r/sites/accessibility/_layouts/15/Doc.aspx?sourcedoc=%7b3C29FC92-CBCC-4A68-9FA6-0F159E3CFEA1%7d&amp;amp;file=MAS%204.2.10%20%E2%80%93%20Tracking%20of%20Focus%20and%20Selection%20Attributes.docx&amp;amp;wdLOR=c15814F13-1B22-4FF5-A80E-802D46292C60&amp;amp;action=default&amp;amp;mobileredirect=true&quot; style=&quot;box-sizing:border-box;text-decoration:underline;cursor:pointer;&quot;&gt;MAS 4.2.10 – Tracking of Focus and Selection Attributes&lt;/a&gt; &lt;/div&gt; &lt;/div&gt; &lt;/div&gt;&lt;/span&gt; &lt;/div&gt; &lt;/div&gt; &lt;/div&gt; &lt;/div&gt;"/>
    <s v="Si"/>
    <x v="0"/>
    <s v="Enrique Monsalve "/>
  </r>
  <r>
    <n v="1518011"/>
    <s v="Bug"/>
    <s v="[Keyboard Navigation - OLP Power Apps - Content page]: Keyboard focus indicator is not visible on the entire page for tiles."/>
    <s v="New"/>
    <s v="Enrique Monsalve &lt;v-monsalvee@microsoft.com&gt;"/>
    <s v="Si"/>
    <s v="Mauricio"/>
    <s v="Completado"/>
    <s v="A11y-1STPARTY; A11yMAS; A11yMASP3; CommonBrowsers; HCL; HCL_OLP - MayJune FY22 New Update; MAS 2.4.7; NewBaselineAssessment; RecID_8303"/>
    <s v="El focus borde esta implementado, y es visible"/>
    <x v="0"/>
    <s v="&lt;div style=&quot;box-sizing:border-box;&quot;&gt;&lt;b&gt;&lt;/b&gt; &lt;/div&gt;&lt;div&gt;&lt;b&gt;Note: &lt;/b&gt;Same issue is observed throughout the application. &lt;/div&gt;&lt;div&gt;&lt;b&gt;&lt;br&gt;&lt;/b&gt; &lt;/div&gt;&lt;div&gt;&lt;b&gt;PWD Impact:&amp;nbsp;&lt;/b&gt;&lt;br style=&quot;box-sizing:border-box;&quot;&gt; &lt;/div&gt;&lt;div&gt; &lt;/div&gt;&lt;div&gt; &lt;/div&gt;&lt;div&gt;Users who depend on the keyboard for navigation will be impacted if keyboard focus indicator is&amp;nbsp;not visible on the entire page for tiles.so that users will be unable to see all the information, so that they will miss the desired task.&lt;br&gt; &lt;/div&gt;&lt;div&gt; &lt;/div&gt;&lt;div&gt;&lt;br style=&quot;box-sizing:border-box;&quot;&gt; &lt;/div&gt;&lt;div&gt; &lt;/div&gt;&lt;div&gt; &lt;/div&gt;&lt;div&gt;&lt;b&gt;Test Environment:&lt;/b&gt;&lt;br style=&quot;box-sizing:border-box;&quot;&gt; &lt;/div&gt;&lt;div&gt; &lt;/div&gt;&lt;div&gt; &lt;/div&gt;&lt;div&gt; &lt;/div&gt;&lt;div&gt; &lt;/div&gt;&lt;div&gt; &lt;/div&gt;&lt;div&gt; &lt;/div&gt;&lt;div&gt; &lt;/div&gt;&lt;div&gt; &lt;/div&gt;&lt;div&gt;OS: Windows 11 [Version 21H2 (OS Build 22000.675)]&lt;br style=&quot;box-sizing:border-box;&quot;&gt; &lt;/div&gt;&lt;div&gt;Browser: Edge Chromium (102.0.1245.30), Chrome (102.0.5005.63) &lt;/div&gt;&lt;div&gt;URL:&amp;nbsp;&lt;a href=&quot;https://apps.preview.powerapps.com/play/e/aa1775d6-89ae-47fb-b2cd-ebeb56163da6/a/347399e1-18ec-4002-aa22-c0285a367aaf?tenantId=72f988bf-86f1-41af-91ab-2d7cd011db47&quot;&gt;Onboarding App - Content - Power Apps&lt;/a&gt;&lt;br style=&quot;box-sizing:border-box;&quot;&gt; &lt;/div&gt;&lt;div&gt; &lt;/div&gt;&lt;div&gt; &lt;/div&gt;&lt;div&gt; &lt;/div&gt;&lt;div&gt; &lt;/div&gt;&lt;div&gt;&lt;br&gt; &lt;/div&gt;&lt;div&gt; &lt;/div&gt;&lt;div&gt; &lt;/div&gt;&lt;div&gt;&lt;b&gt;Repro Steps:&lt;/b&gt;&lt;br style=&quot;box-sizing:border-box;&quot;&gt; &lt;/div&gt;&lt;div&gt; &lt;/div&gt;&lt;div&gt; &lt;/div&gt;&lt;div&gt;&lt;div&gt; &lt;/div&gt;&lt;div&gt; &lt;/div&gt;&lt;div&gt; &lt;/div&gt;&lt;div&gt;Step 1:&amp;nbsp;Open the above URL in Edge Chromium Browser or chrome browser. &lt;/div&gt; &lt;/div&gt;&lt;div&gt; &lt;/div&gt;&lt;div&gt; &lt;/div&gt;&lt;div&gt; &lt;/div&gt;&lt;div&gt; &lt;/div&gt;&lt;div&gt;Step 2: 'Onboarding App - Content Page - Power Apps' page will appear. -&amp;gt;Navigate to browse control and activate it. &lt;/div&gt;&lt;div&gt;&lt;span&gt;Step 3:&amp;nbsp;Verify whether&amp;nbsp;Keyboard focus indicator is visible on the entire page for tiles or not.&lt;/span&gt;&lt;br&gt; &lt;/div&gt;&lt;div&gt;&lt;div&gt; &lt;/div&gt;&lt;div&gt; &lt;/div&gt;&lt;div&gt; &lt;/div&gt;&lt;div&gt;&lt;br style=&quot;box-sizing:border-box;&quot;&gt; &lt;/div&gt;&lt;div&gt; &lt;/div&gt; &lt;/div&gt;&lt;div&gt; &lt;/div&gt;&lt;div&gt; &lt;/div&gt;&lt;div&gt; &lt;/div&gt;&lt;div&gt; &lt;/div&gt;&lt;div&gt; &lt;/div&gt;&lt;div&gt; &lt;/div&gt;&lt;div&gt; &lt;/div&gt;&lt;div&gt;&lt;b&gt;Actual Result:&lt;/b&gt; &lt;/div&gt;&lt;div&gt;Keyboard focus indicator is not visible on the entire page for tiles.&lt;br&gt; &lt;/div&gt;&lt;div&gt; &lt;/div&gt;&lt;div&gt; &lt;/div&gt;&lt;div&gt;&lt;b&gt;Observation:&lt;/b&gt; Keyboard focus indicator is not visible at all sides.&lt;br&gt; &lt;/div&gt;&lt;div&gt; &lt;/div&gt;&lt;div&gt;&lt;br&gt; &lt;/div&gt;&lt;div&gt; &lt;/div&gt;&lt;div&gt; &lt;/div&gt;&lt;div&gt; &lt;/div&gt;&lt;div&gt;&lt;b&gt;Expected Result:&lt;/b&gt;&lt;br style=&quot;box-sizing:border-box;&quot;&gt; &lt;/div&gt;&lt;div&gt; &lt;/div&gt;&lt;div&gt; &lt;/div&gt;&lt;div&gt;&lt;span style=&quot;display:inline !important;&quot;&gt;Keyboard focus indicator should be clearly visible on the entire page for tiles.&lt;/span&gt;&lt;br&gt; &lt;/div&gt;&lt;div&gt;Ex:&amp;nbsp;&lt;span style=&quot;display:inline !important;&quot;&gt;Keyboard focus indicator should be clearly visible at all sides.&lt;/span&gt; &lt;/div&gt;&lt;div&gt;&lt;span style=&quot;display:inline !important;&quot;&gt;&lt;br&gt;&lt;/span&gt; &lt;/div&gt;&lt;div&gt; &lt;/div&gt;&lt;div&gt; &lt;/div&gt;&lt;div&gt; &lt;/div&gt;&lt;div&gt;&lt;div&gt; &lt;/div&gt;&lt;div&gt;&lt;b&gt;MAS Reference link:&lt;/b&gt;&lt;br style=&quot;box-sizing:border-box;&quot;&gt; &lt;/div&gt;&lt;div&gt;&lt;a href=&quot;https://aka.ms/MAS2.4.7&quot;&gt;MAS 2.4.7 – Focus Visible&lt;/a&gt;&lt;br style=&quot;box-sizing:border-box;&quot;&gt; &lt;/div&gt;&lt;div&gt;&lt;br style=&quot;box-sizing:border-box;&quot;&gt; &lt;/div&gt;&lt;div&gt;&lt;b&gt;WCAG Reference link:&lt;/b&gt;&lt;br style=&quot;box-sizing:border-box;&quot;&gt; &lt;/div&gt;&lt;div&gt;&lt;a href=&quot;https://www.w3.org/WAI/WCAG21/Understanding/focus-visible.html&quot;&gt;https://www.w3.org/WAI/WCAG21/Understanding/focus-visible.html&lt;/a&gt;&lt;br&gt; &lt;/div&gt; &lt;/div&gt;&lt;div style=&quot;box-sizing:border-box;font-weight:400;&quot;&gt;&lt;div style=&quot;box-sizing:border-box;&quot;&gt;&lt;div style=&quot;box-sizing:border-box;&quot;&gt;&lt;div style=&quot;box-sizing:border-box;&quot;&gt;&lt;span style=&quot;box-sizing:border-box;font-weight:bold;&quot;&gt;&lt;div style=&quot;box-sizing:border-box;font-weight:400;&quot;&gt;&lt;div style=&quot;box-sizing:border-box;&quot;&gt;&lt;div style=&quot;box-sizing:border-box;font-family:&amp;quot;Segoe UI&amp;quot;, system-ui, &amp;quot;Apple Color Emoji&amp;quot;, &amp;quot;Segoe UI Emoji&amp;quot;, sans-serif;margin:0px 0in;&quot;&gt; &lt;/div&gt;&lt;a href=&quot;https://www.w3.org/WAI/WCAG21/Understanding/reflow.html&quot; style=&quot;box-sizing:border-box;text-decoration:underline;cursor:pointer;font-family:&amp;quot;Segoe UI&amp;quot;, system-ui, &amp;quot;Apple Color Emoji&amp;quot;, &amp;quot;Segoe UI Emoji&amp;quot;, sans-serif;&quot;&gt;&lt;/a&gt; &lt;/div&gt; &lt;/div&gt;&lt;/span&gt; &lt;/div&gt; &lt;/div&gt; &lt;/div&gt; &lt;/div&gt;"/>
    <s v="No"/>
    <x v="1"/>
    <s v="Priyanka Mangla "/>
  </r>
  <r>
    <n v="1517896"/>
    <s v="Bug"/>
    <s v="[Screen Readers - OLP Power Apps - Content page]: Ensures buttons have discernible text."/>
    <s v="New"/>
    <s v="Enrique Monsalve &lt;v-monsalvee@microsoft.com&gt;"/>
    <s v="No revisado"/>
    <m/>
    <s v="Completado"/>
    <s v="A11y-1STPARTY; A11yAuto; A11yMAS; A11yMASP3; CommonScreenReaders; HCL; HCL_OLP - MayJune FY22 New Update; K4W; MAS 4.1.2; NewBaselineAssessment; RecID_8303"/>
    <m/>
    <x v="1"/>
    <s v="&lt;div style=&quot;box-sizing:border-box;&quot;&gt;&lt;b&gt;&lt;/b&gt; &lt;/div&gt;&lt;div&gt;&lt;b&gt;Note: &lt;/b&gt;Same issue is observed throughout the application. &lt;/div&gt;&lt;div&gt;&lt;br&gt; &lt;/div&gt;&lt;div&gt;&lt;b&gt;PWD Impact:&amp;nbsp;&lt;/b&gt;&lt;br style=&quot;box-sizing:border-box;&quot;&gt; &lt;/div&gt;&lt;div&gt; &lt;/div&gt;&lt;div&gt; &lt;/div&gt;&lt;div&gt;&lt;div style=&quot;box-sizing:border-box;font-family:&amp;quot;Segoe UI&amp;quot;, sans-serif;&quot;&gt;&lt;div style=&quot;box-sizing:border-box;&quot;&gt;An accessible name is a word or phrase coded in a way that assistive technologies can associate it with a specific user interface object. Assistive technologies can then refer to the object by name, not just by type. When a button doesn’t have an accessible name, people who use assistive technologies have no way of knowing its purpose. &lt;/div&gt;&lt;span style=&quot;box-sizing:border-box;display:inline !important;&quot;&gt;&lt;span style=&quot;box-sizing:border-box;display:inline !important;&quot;&gt;&lt;span style=&quot;box-sizing:border-box;display:inline !important;&quot;&gt;&lt;/span&gt;&lt;/span&gt;&lt;/span&gt;&lt;br&gt;&lt;b&gt;Test Environment:&lt;/b&gt;&lt;br&gt; &lt;/div&gt; &lt;/div&gt;&lt;div&gt; &lt;/div&gt;&lt;div&gt; &lt;/div&gt;&lt;div&gt; &lt;/div&gt;&lt;div&gt; &lt;/div&gt;&lt;div&gt; &lt;/div&gt;&lt;div&gt; &lt;/div&gt;&lt;div&gt; &lt;/div&gt;&lt;div&gt; &lt;/div&gt;&lt;div&gt;OS: Windows 11 [Version 21H2 (OS Build 22000.675)]&lt;br style=&quot;box-sizing:border-box;&quot;&gt; &lt;/div&gt;&lt;div&gt;Browser: Edge Chromium (102.0.1245.30), Chrome (102.0.5005.63) &lt;/div&gt;&lt;div&gt;&lt;span style=&quot;display:inline !important;&quot;&gt;Tools Used:&amp;nbsp;Accessibility Insights for web&lt;/span&gt;&lt;br&gt; &lt;/div&gt;&lt;div&gt;&lt;span&gt;URL:&amp;nbsp;&lt;/span&gt;&lt;a href=&quot;https://apps.preview.powerapps.com/play/e/aa1775d6-89ae-47fb-b2cd-ebeb56163da6/a/347399e1-18ec-4002-aa22-c0285a367aaf?tenantId=72f988bf-86f1-41af-91ab-2d7cd011db47&quot;&gt;Onboarding App - Content - Power Apps&lt;/a&gt;&lt;br&gt; &lt;/div&gt;&lt;div&gt; &lt;/div&gt;&lt;div&gt; &lt;/div&gt;&lt;div&gt; &lt;/div&gt;&lt;div&gt; &lt;/div&gt;&lt;div&gt;&lt;br&gt; &lt;/div&gt;&lt;div&gt; &lt;/div&gt;&lt;div&gt; &lt;/div&gt;&lt;div&gt;&lt;b&gt;Repro Steps:&lt;/b&gt;&lt;br style=&quot;box-sizing:border-box;&quot;&gt; &lt;/div&gt;&lt;div&gt; &lt;/div&gt;&lt;div&gt; &lt;/div&gt;&lt;div&gt;&lt;div&gt; &lt;/div&gt;&lt;div&gt; &lt;/div&gt;&lt;div&gt; &lt;/div&gt;&lt;div&gt;Step 1:&amp;nbsp;Open the above URL in Edge Chromium Browser or chrome browser. &lt;/div&gt; &lt;/div&gt;&lt;div&gt; &lt;/div&gt;&lt;div&gt; &lt;/div&gt;&lt;div&gt; &lt;/div&gt;&lt;div&gt; &lt;/div&gt;&lt;div&gt;Step 2: 'Onboarding App - Content Page - Power Apps' page will appear-&amp;gt;&lt;span style=&quot;display:inline !important;&quot;&gt;Navigate to home page &amp;gt;&amp;nbsp;&lt;/span&gt;&lt;span style=&quot;box-sizing:border-box;&quot;&gt;Run AI tool.&lt;/span&gt; &lt;/div&gt;&lt;div&gt;&lt;span&gt;Step 3:&amp;nbsp;&lt;span style=&quot;box-sizing:border-box;&quot;&gt;Observe that&amp;nbsp;buttons does not have discernible text.&lt;/span&gt;&lt;span style=&quot;box-sizing:border-box;&quot;&gt;&amp;nbsp;&lt;/span&gt;&lt;/span&gt;&lt;br&gt; &lt;/div&gt;&lt;div&gt;&lt;div&gt; &lt;/div&gt;&lt;div&gt; &lt;/div&gt;&lt;div&gt; &lt;/div&gt;&lt;div&gt;&lt;b&gt;&lt;br&gt;&lt;/b&gt; &lt;/div&gt;&lt;div&gt;&lt;b&gt;Actual Result:&lt;/b&gt;&lt;br&gt; &lt;/div&gt; &lt;/div&gt;&lt;div&gt;&lt;span style=&quot;font-family:&amp;quot;Segoe UI&amp;quot;, system-ui, &amp;quot;Apple Color Emoji&amp;quot;, &amp;quot;Segoe UI Emoji&amp;quot;, sans-serif;display:inline !important;&quot;&gt;Buttons does not have discernible text.&lt;/span&gt;&lt;br&gt; &lt;/div&gt;&lt;div&gt; &lt;/div&gt;&lt;div&gt; &lt;/div&gt;&lt;div&gt;&lt;b&gt;Element path: &lt;/b&gt;#fullscreen-app-host;div[aria-labelledby=&amp;quot;pa-gallery-label-7&amp;quot;] &amp;gt; .container_1vt1y2p[data-container-name=&amp;quot;Gallery9_5-container&amp;quot;][data-pa-type=&amp;quot;pa-items-container&amp;quot;] &amp;gt; .container_1f0sgyp &amp;gt; ._vst_[data-control-id=&amp;quot;215&amp;quot;][data-control-name=&amp;quot;ButtonOpenTopic_9&amp;quot;] &amp;gt; .appmagic-borderfill-container &amp;gt; .appmagic-border-inner &amp;gt; .react-knockout-control &amp;gt; .appmagic-button-wrapper &amp;gt; .appmagic-button-container[data-control-part=&amp;quot;button&amp;quot;]&lt;br&gt;&lt;div&gt;&lt;br&gt; &lt;/div&gt;&lt;div&gt;&lt;b&gt;Snippet:&lt;/b&gt; &amp;lt;button class=&amp;quot;appmagic-button-container no-focus-outline&amp;quot; data-control-part=&amp;quot;button&amp;quot; data-bind=&amp;quot; event: { click: handleClick, pointerdown: handleMouseDown, pointerup: handleMouseUp, pointerout: handleMouseOut }, attr: { title: properties.Tooltip, disabled: viewState.displayMode() !== AppMagic.Constants.DisplayMode.Edit } &amp;quot; title=&amp;quot;&amp;quot; tabindex=&amp;quot;134&amp;quot;&amp;gt;&lt;br&gt; &lt;/div&gt;&lt;div&gt;&lt;br&gt; &lt;/div&gt;&lt;div&gt;&lt;b&gt;How to fix: &lt;/b&gt;&lt;br&gt; &lt;/div&gt;&lt;div&gt;Fix any of the following:&lt;br&gt; &lt;/div&gt;&lt;div&gt;&amp;nbsp; Element does not have inner text that is visible to screen readers&lt;br&gt; &lt;/div&gt;&lt;div&gt;&amp;nbsp; aria-label attribute does not exist or is empty&lt;br&gt; &lt;/div&gt;&lt;div&gt;&amp;nbsp; aria-labelledby attribute does not exist, references elements that do not exist or references elements that are empty&lt;br&gt; &lt;/div&gt;&lt;div&gt;&amp;nbsp; Element has an empty title attribute&lt;br&gt; &lt;/div&gt;&amp;nbsp; Element's default semantics were not overridden with role=&amp;quot;none&amp;quot; or role=&amp;quot;presentation&amp;quot;&lt;br&gt; &lt;/div&gt;&lt;div&gt;&lt;br&gt; &lt;/div&gt;&lt;div&gt; &lt;/div&gt;&lt;div&gt; &lt;/div&gt;&lt;div&gt; &lt;/div&gt;&lt;div&gt;&lt;b&gt;Expected Result:&lt;/b&gt;&lt;br style=&quot;box-sizing:border-box;&quot;&gt; &lt;/div&gt;&lt;div&gt; &lt;/div&gt;&lt;div&gt; &lt;/div&gt;&lt;div&gt;&lt;span style=&quot;display:inline !important;&quot;&gt;Ensures buttons have discernible text.&lt;/span&gt;&lt;br&gt; &lt;/div&gt;&lt;div&gt;&lt;b&gt;&lt;br&gt;&lt;/b&gt; &lt;/div&gt;&lt;div&gt;&lt;b&gt;MAS Reference:&lt;/b&gt;&lt;br&gt; &lt;/div&gt;&lt;div style=&quot;box-sizing:border-box;font-weight:400;&quot;&gt;&lt;a href=&quot;https://microsoft.sharepoint.com/teams/msenable/_layouts/15/WopiFrame.aspx?sourcedoc=%7b248054a6-5e68-4771-9e1e-242fb5025730%7d&quot; style=&quot;box-sizing:border-box;text-decoration:underline;cursor:pointer;&quot;&gt;MAS&amp;nbsp;4.1.2&amp;nbsp;- Name, Role, Value&lt;/a&gt;&amp;nbsp; &lt;/div&gt;&lt;div style=&quot;box-sizing:border-box;font-weight:400;&quot;&gt;&lt;br style=&quot;box-sizing:border-box;&quot;&gt; &lt;/div&gt;&lt;div style=&quot;box-sizing:border-box;font-weight:400;&quot;&gt;&lt;b style=&quot;box-sizing:border-box;&quot;&gt;WCAG Reference:&lt;/b&gt; &lt;/div&gt;&lt;div style=&quot;box-sizing:border-box;font-weight:400;&quot;&gt;&lt;a href=&quot;https://www.w3.org/WAI/WCAG21/Understanding/name-role-value.html&quot; style=&quot;box-sizing:border-box;text-decoration:underline;cursor:pointer;&quot;&gt;https://www.w3.org/WAI/WCAG21/Understanding/name-role-value.html&lt;/a&gt; &lt;/div&gt;&lt;div style=&quot;box-sizing:border-box;font-family:&amp;quot;Segoe UI&amp;quot;, sans-serif;font-weight:400;&quot;&gt;&lt;div style=&quot;box-sizing:border-box;font-family:&amp;quot;Segoe UI&amp;quot;, system-ui, &amp;quot;Apple Color Emoji&amp;quot;, &amp;quot;Segoe UI Emoji&amp;quot;, sans-serif;margin:0px 0in;&quot;&gt;&lt;span style=&quot;box-sizing:border-box;&quot;&gt;&lt;div style=&quot;box-sizing:border-box;&quot;&gt;&lt;a href=&quot;https://www.w3.org/WAI/WCAG21/Understanding/focus-order&quot; style=&quot;box-sizing:border-box;text-decoration:underline;cursor:pointer;&quot;&gt;&lt;/a&gt; &lt;/div&gt;&lt;/span&gt; &lt;/div&gt; &lt;/div&gt;&lt;div style=&quot;box-sizing:border-box;font-weight:400;&quot;&gt;&lt;div style=&quot;box-sizing:border-box;&quot;&gt;&lt;div style=&quot;box-sizing:border-box;&quot;&gt;&lt;div style=&quot;box-sizing:border-box;&quot;&gt;&lt;span style=&quot;box-sizing:border-box;font-weight:bold;&quot;&gt;&lt;div style=&quot;box-sizing:border-box;font-weight:400;&quot;&gt;&lt;div style=&quot;box-sizing:border-box;&quot;&gt;&lt;div style=&quot;box-sizing:border-box;font-family:&amp;quot;Segoe UI&amp;quot;, system-ui, &amp;quot;Apple Color Emoji&amp;quot;, &amp;quot;Segoe UI Emoji&amp;quot;, sans-serif;margin:0px 0in;&quot;&gt; &lt;/div&gt;&lt;a href=&quot;https://www.w3.org/WAI/WCAG21/Understanding/reflow.html&quot; style=&quot;box-sizing:border-box;text-decoration:underline;cursor:pointer;font-family:&amp;quot;Segoe UI&amp;quot;, system-ui, &amp;quot;Apple Color Emoji&amp;quot;, &amp;quot;Segoe UI Emoji&amp;quot;, sans-serif;&quot;&gt;&lt;/a&gt; &lt;/div&gt; &lt;/div&gt;&lt;/span&gt; &lt;/div&gt; &lt;/div&gt; &lt;/div&gt; &lt;/div&gt;"/>
    <s v="Si"/>
    <x v="0"/>
    <s v="Enrique Monsalve "/>
  </r>
  <r>
    <n v="1518044"/>
    <s v="Bug"/>
    <s v="[Supporting the platform - OLP Power Apps - Content page]: After resizing the page at 400% zoom, Screen reader (NVDA/JAWS) is not narrating the name of the few buttons present on the page."/>
    <s v="New"/>
    <s v="Enrique Monsalve &lt;v-monsalvee@microsoft.com&gt;"/>
    <s v="No revisado"/>
    <m/>
    <s v="Completado"/>
    <s v="A11y-1STPARTY; A11yMAS; A11yMASP3; CommonBrowsers; HCL; HCL_OLP - MayJune FY22 New Update; MAS 1.4.10; NewBaselineAssessment; RecID_8303"/>
    <s v="Se hizo cambio en Content y Browse screen."/>
    <x v="0"/>
    <s v="&lt;div style=&quot;box-sizing:border-box;&quot;&gt;&lt;b&gt;&lt;/b&gt; &lt;/div&gt;&lt;div style=&quot;box-sizing:border-box;&quot;&gt;&lt;b&gt;PWD Impact:&amp;nbsp;&lt;/b&gt;&lt;br&gt; &lt;/div&gt;&lt;div style=&quot;box-sizing:border-box;font-weight:400;&quot;&gt;&lt;span style=&quot;box-sizing:border-box;display:inline !important;&quot;&gt;&lt;span style=&quot;box-sizing:border-box;font-family:&amp;quot;Segoe UI&amp;quot;, sans-serif;display:inline !important;&quot;&gt;&lt;span style=&quot;box-sizing:border-box;display:inline !important;&quot;&gt;&lt;span style=&quot;display:inline !important;&quot;&gt;&lt;div style=&quot;box-sizing:border-box;&quot;&gt;&lt;span style=&quot;box-sizing:border-box;display:inline !important;&quot;&gt;&lt;span style=&quot;box-sizing:border-box;display:inline !important;&quot;&gt;&lt;span style=&quot;box-sizing:border-box;font-family:&amp;quot;Segoe UI&amp;quot;, system-ui, &amp;quot;Apple Color Emoji&amp;quot;, &amp;quot;Segoe UI Emoji&amp;quot;, sans-serif;display:inline !important;&quot;&gt;If after resizing the page at 400% Zoom, Screen reader (NVDA/JAWS) are not narrating the name of the few buttons present on the page, the user with low vision gets affected as to read the content and screen reader user is not getting the content of the page.&lt;/span&gt;&lt;/span&gt;&lt;/span&gt; &lt;/div&gt;&lt;/span&gt;&lt;/span&gt;&lt;/span&gt;&lt;/span&gt; &lt;/div&gt;&lt;div style=&quot;box-sizing:border-box;font-weight:400;&quot;&gt;&lt;br style=&quot;box-sizing:border-box;&quot;&gt; &lt;/div&gt;&lt;div style=&quot;box-sizing:border-box;font-weight:400;&quot;&gt;&lt;div style=&quot;box-sizing:border-box;&quot;&gt; &lt;/div&gt;&lt;div style=&quot;box-sizing:border-box;&quot;&gt;&lt;b style=&quot;box-sizing:border-box;font-family:&amp;quot;Segoe UI&amp;quot;, sans-serif;&quot;&gt;Test Environment:&lt;/b&gt;&lt;br style=&quot;box-sizing:border-box;&quot;&gt; &lt;/div&gt;&lt;div style=&quot;box-sizing:border-box;&quot;&gt; &lt;/div&gt; &lt;/div&gt;&lt;div style=&quot;box-sizing:border-box;font-weight:400;&quot;&gt; &lt;/div&gt;&lt;div style=&quot;box-sizing:border-box;font-weight:400;&quot;&gt; &lt;/div&gt;&lt;div style=&quot;box-sizing:border-box;font-weight:400;&quot;&gt; &lt;/div&gt;&lt;div style=&quot;box-sizing:border-box;font-weight:400;&quot;&gt; &lt;/div&gt;&lt;p style=&quot;box-sizing:border-box;font-weight:400;margin:0in;&quot;&gt; &lt;/p&gt;&lt;span style=&quot;box-sizing:border-box;font-weight:400;&quot;&gt;&lt;/span&gt;&lt;span style=&quot;box-sizing:border-box;font-weight:400;&quot;&gt;&lt;/span&gt;&lt;span style=&quot;box-sizing:border-box;font-weight:400;&quot;&gt;OS: Windows 11 [Version 21H2 (OS Build 22000.675)]&lt;br style=&quot;box-sizing:border-box;&quot;&gt;&lt;/span&gt;&lt;div style=&quot;box-sizing:border-box;font-weight:400;&quot;&gt;Browser: Edge Chromium (102.0.1245.30), Chrome (102.0.5005.63) &lt;/div&gt;&lt;div style=&quot;box-sizing:border-box;font-weight:400;&quot;&gt;&lt;span style=&quot;box-sizing:border-box;&quot;&gt;URL:&amp;nbsp;&lt;a href=&quot;https://apps.preview.powerapps.com/play/e/aa1775d6-89ae-47fb-b2cd-ebeb56163da6/a/347399e1-18ec-4002-aa22-c0285a367aaf?tenantId=72f988bf-86f1-41af-91ab-2d7cd011db47&quot; style=&quot;box-sizing:border-box;text-decoration:underline;&quot;&gt;Onboarding App - Content - Power Apps&lt;/a&gt;&lt;/span&gt;&lt;br style=&quot;box-sizing:border-box;&quot;&gt; &lt;/div&gt;&lt;span style=&quot;box-sizing:border-box;font-weight:400;&quot;&gt;&lt;/span&gt;&lt;div style=&quot;box-sizing:border-box;font-weight:400;&quot;&gt; &lt;/div&gt;&lt;div style=&quot;box-sizing:border-box;font-weight:400;&quot;&gt; &lt;/div&gt;&lt;div style=&quot;box-sizing:border-box;font-weight:400;&quot;&gt;&lt;br style=&quot;box-sizing:border-box;&quot;&gt; &lt;/div&gt;&lt;div style=&quot;box-sizing:border-box;font-weight:400;&quot;&gt;&lt;span style=&quot;box-sizing:border-box;&quot;&gt;&lt;b style=&quot;box-sizing:border-box;&quot;&gt;&lt;/b&gt;&lt;/span&gt; &lt;/div&gt;&lt;p style=&quot;box-sizing:border-box;font-weight:400;margin:0in;&quot;&gt;&lt;span style=&quot;box-sizing:border-box;font-weight:bold;&quot;&gt;Pre-requisite:&lt;/span&gt; &lt;/p&gt;&lt;p style=&quot;box-sizing:border-box;font-weight:400;margin:0in;&quot;&gt;Step 1: Enable Display setting to a scale resolution of&lt;span&gt;&amp;nbsp;&lt;/span&gt;&lt;span style=&quot;box-sizing:border-box;display:inline !important;&quot;&gt;1280&amp;nbsp;&lt;/span&gt;* 1024 and update scaling to 100%. &lt;/p&gt;&lt;p style=&quot;box-sizing:border-box;font-weight:400;margin:0in;&quot;&gt;Step 2: Enable the browser setting to 400% Zoom mode. &lt;/p&gt;&lt;div style=&quot;box-sizing:border-box;font-weight:400;&quot;&gt;&lt;br&gt; &lt;/div&gt;&lt;div style=&quot;box-sizing:border-box;font-weight:400;&quot;&gt; &lt;/div&gt;&lt;div style=&quot;box-sizing:border-box;font-weight:400;&quot;&gt;&lt;p style=&quot;box-sizing:border-box;margin:0in;&quot;&gt;&lt;b style=&quot;box-sizing:border-box;&quot;&gt;Repro Steps:&lt;/b&gt;&lt;br style=&quot;box-sizing:border-box;&quot;&gt; &lt;/p&gt; &lt;/div&gt;&lt;div style=&quot;box-sizing:border-box;font-weight:400;&quot;&gt;&lt;div style=&quot;box-sizing:border-box;&quot;&gt;&lt;div style=&quot;box-sizing:border-box;&quot;&gt;&lt;div style=&quot;box-sizing:border-box;&quot;&gt;&lt;span style=&quot;box-sizing:border-box;&quot;&gt;&lt;div style=&quot;box-sizing:border-box;&quot;&gt; &lt;/div&gt;&lt;div style=&quot;box-sizing:border-box;&quot;&gt; &lt;/div&gt;&lt;div style=&quot;box-sizing:border-box;&quot;&gt; &lt;/div&gt;&lt;div style=&quot;box-sizing:border-box;&quot;&gt;Step 1:&lt;span style=&quot;box-sizing:border-box;&quot;&gt;&amp;nbsp;&lt;/span&gt;&lt;span style=&quot;box-sizing:border-box;color:rgb(36, 36, 36);font-family:-apple-system, BlinkMacSystemFont, &amp;quot;Segoe UI&amp;quot;, &amp;quot;Apple Color Emoji&amp;quot;, &amp;quot;Segoe UI Emoji&amp;quot;, &amp;quot;Segoe UI Web&amp;quot;, sans-serif;display:inline !important;&quot;&gt;Open the above URL in Edge Chromium Browser or chrome browser.&lt;/span&gt;&lt;span style=&quot;box-sizing:border-box;display:inline !important;&quot;&gt;&lt;/span&gt; &lt;/div&gt;&lt;/span&gt; &lt;/div&gt; &lt;/div&gt; &lt;/div&gt; &lt;/div&gt;&lt;div style=&quot;box-sizing:border-box;font-weight:400;&quot;&gt;Step 2: &lt;span style=&quot;display:inline !important;&quot;&gt;'Onboarding App - Content Page - Power Apps' page will appear.&amp;nbsp;&lt;/span&gt; &lt;/div&gt;&lt;div style=&quot;box-sizing:border-box;font-weight:400;&quot;&gt;&lt;div style=&quot;box-sizing:border-box;&quot;&gt;&lt;div style=&quot;box-sizing:border-box;&quot;&gt;&lt;div style=&quot;box-sizing:border-box;&quot;&gt;&lt;span style=&quot;box-sizing:border-box;&quot;&gt;&lt;div style=&quot;box-sizing:border-box;&quot;&gt;Step 3: Navigate to the 'hamburger', 'search', 'Filter' and 'Sort' buttons. &lt;/div&gt;&lt;div style=&quot;box-sizing:border-box;&quot;&gt;&lt;span style=&quot;box-sizing:border-box;&quot;&gt;&lt;span style=&quot;box-sizing:border-box;&quot;&gt;Step 4:&lt;span style=&quot;box-sizing:border-box;&quot;&gt;&amp;nbsp;Verify whether &lt;/span&gt;&lt;/span&gt;After resizing the page at 400% zoom, Screen reader (NVDA/JAWS) are narrating the name of the few buttons present on the page or not.&lt;br style=&quot;box-sizing:border-box;&quot;&gt;&lt;/span&gt; &lt;/div&gt;&lt;div style=&quot;box-sizing:border-box;&quot;&gt;&lt;span style=&quot;box-sizing:border-box;&quot;&gt;&lt;/span&gt; &lt;/div&gt;&lt;div style=&quot;box-sizing:border-box;&quot;&gt;&lt;span style=&quot;box-sizing:border-box;&quot;&gt;&lt;/span&gt; &lt;/div&gt;&lt;div style=&quot;box-sizing:border-box;&quot;&gt;&lt;span style=&quot;box-sizing:border-box;&quot;&gt;&lt;span style=&quot;box-sizing:border-box;font-family:Calibri, sans-serif;font-size:14.6667px;display:inline !important;&quot;&gt;&lt;span style=&quot;box-sizing:border-box;font-size:14px;display:inline !important;&quot;&gt;&lt;br style=&quot;box-sizing:border-box;&quot;&gt;&lt;/span&gt;&lt;/span&gt;&lt;/span&gt; &lt;/div&gt;&lt;/span&gt; &lt;/div&gt; &lt;/div&gt; &lt;/div&gt; &lt;/div&gt;&lt;div style=&quot;box-sizing:border-box;font-weight:400;&quot;&gt;&lt;div style=&quot;box-sizing:border-box;&quot;&gt;&lt;div style=&quot;box-sizing:border-box;&quot;&gt;&lt;b style=&quot;box-sizing:border-box;&quot;&gt;&lt;/b&gt; &lt;/div&gt; &lt;/div&gt; &lt;/div&gt;&lt;div style=&quot;box-sizing:border-box;font-weight:400;&quot;&gt;&lt;div style=&quot;box-sizing:border-box;&quot;&gt;&lt;div style=&quot;box-sizing:border-box;&quot;&gt;&lt;b style=&quot;box-sizing:border-box;&quot;&gt;Actual Result:&lt;/b&gt;&lt;br style=&quot;box-sizing:border-box;&quot;&gt; &lt;/div&gt; &lt;/div&gt; &lt;/div&gt;&lt;div style=&quot;box-sizing:border-box;font-weight:400;&quot;&gt; &lt;/div&gt;&lt;div style=&quot;box-sizing:border-box;font-weight:400;&quot;&gt;&lt;b style=&quot;box-sizing:border-box;&quot;&gt;&lt;span style=&quot;box-sizing:border-box;display:inline !important;&quot;&gt;&lt;/span&gt;&lt;/b&gt; &lt;/div&gt;&lt;div style=&quot;box-sizing:border-box;font-weight:400;&quot;&gt; &lt;/div&gt;&lt;div style=&quot;box-sizing:border-box;&quot;&gt;&lt;div style=&quot;font-weight:400;box-sizing:border-box;&quot;&gt;After resizing the page at 400% zoom, Screen reader (NVDA/JAWS) is not narrating the name of the few buttons present on the page. &lt;/div&gt;&lt;div style=&quot;box-sizing:border-box;&quot;&gt;&lt;b&gt;Observation: &lt;/b&gt;Screen reader narrating as 'button' for&amp;nbsp;&lt;span style=&quot;display:inline !important;&quot;&gt;'hamburger', 'search', 'Filter' and 'Sort' buttons. It's not narrating the name of those controls.&lt;/span&gt; &lt;/div&gt; &lt;/div&gt;&lt;div style=&quot;box-sizing:border-box;&quot;&gt;&lt;br&gt; &lt;/div&gt;&lt;div style=&quot;box-sizing:border-box;&quot;&gt;&lt;div style=&quot;font-weight:400;box-sizing:border-box;&quot;&gt; &lt;/div&gt;&lt;div style=&quot;font-weight:400;box-sizing:border-box;&quot;&gt;&lt;b style=&quot;box-sizing:border-box;&quot;&gt;Expected Result:&lt;br style=&quot;box-sizing:border-box;&quot;&gt;&lt;/b&gt;&lt;div style=&quot;box-sizing:border-box;&quot;&gt;&lt;div style=&quot;box-sizing:border-box;&quot;&gt; &lt;/div&gt; &lt;/div&gt;&lt;span style=&quot;box-sizing:border-box;display:inline !important;&quot;&gt;&lt;/span&gt;&lt;span style=&quot;display:inline !important;&quot;&gt;&lt;/span&gt; &lt;/div&gt;&lt;div style=&quot;box-sizing:border-box;&quot;&gt;After resizing the page at 400% zoom, Screen reader (NVDA/JAWS) should narrate the name of the few buttons presents on the page. &lt;/div&gt;&lt;div style=&quot;box-sizing:border-box;&quot;&gt;&lt;b style=&quot;box-sizing:border-box;&quot;&gt;Observation:&lt;span&gt;&amp;nbsp;&lt;/span&gt;&lt;/b&gt;Screen reader should narrate as follows &lt;/div&gt;&lt;div style=&quot;box-sizing:border-box;&quot;&gt;&lt;span style=&quot;box-sizing:border-box;display:inline !important;&quot;&gt;&lt;span style=&quot;display:inline !important;&quot;&gt;hamburger --&amp;gt; button hamburger.&lt;/span&gt;&lt;br&gt;&lt;/span&gt; &lt;/div&gt;&lt;div style=&quot;box-sizing:border-box;&quot;&gt;&lt;span style=&quot;box-sizing:border-box;display:inline !important;&quot;&gt;&lt;span style=&quot;display:inline !important;&quot;&gt;&lt;span style=&quot;display:inline !important;&quot;&gt;search --&amp;gt; button search&lt;/span&gt;&lt;br&gt;&lt;/span&gt;&lt;/span&gt; &lt;/div&gt;&lt;div style=&quot;box-sizing:border-box;&quot;&gt;Filter --&amp;gt; button filter &lt;/div&gt;&lt;div style=&quot;box-sizing:border-box;&quot;&gt;Sort --&amp;gt; button sort. &lt;/div&gt;&lt;div style=&quot;box-sizing:border-box;&quot;&gt;&lt;span style=&quot;box-sizing:border-box;display:inline !important;&quot;&gt;&lt;span style=&quot;display:inline !important;&quot;&gt;&lt;/span&gt;&lt;/span&gt; &lt;/div&gt;&lt;div style=&quot;box-sizing:border-box;&quot;&gt;&lt;br&gt; &lt;/div&gt;&lt;div style=&quot;box-sizing:border-box;&quot;&gt; &lt;/div&gt; &lt;/div&gt;&lt;div style=&quot;box-sizing:border-box;font-weight:400;&quot;&gt;&lt;div style=&quot;box-sizing:border-box;&quot;&gt;&lt;div style=&quot;box-sizing:border-box;&quot;&gt;&lt;div style=&quot;box-sizing:border-box;&quot;&gt;&lt;span style=&quot;box-sizing:border-box;font-weight:bold;&quot;&gt;&lt;div style=&quot;box-sizing:border-box;font-weight:400;&quot;&gt;&lt;div style=&quot;box-sizing:border-box;&quot;&gt;&lt;b style=&quot;box-sizing:border-box;&quot;&gt;&lt;/b&gt; &lt;/div&gt;&lt;div style=&quot;box-sizing:border-box;&quot;&gt;&lt;div style=&quot;box-sizing:border-box;font-family:&amp;quot;Segoe UI&amp;quot;, system-ui, &amp;quot;Apple Color Emoji&amp;quot;, &amp;quot;Segoe UI Emoji&amp;quot;, sans-serif;margin:0px 0in;&quot;&gt;&lt;span style=&quot;box-sizing:border-box;&quot;&gt;&lt;b style=&quot;box-sizing:border-box;&quot;&gt;MAS Reference:&lt;/b&gt;&lt;/span&gt; &lt;/div&gt;&lt;div style=&quot;box-sizing:border-box;font-family:&amp;quot;Segoe UI&amp;quot;, system-ui, &amp;quot;Apple Color Emoji&amp;quot;, &amp;quot;Segoe UI Emoji&amp;quot;, sans-serif;margin:0px 0in;&quot;&gt;&lt;span style=&quot;box-sizing:border-box;&quot;&gt;&lt;a href=&quot;https://microsoft.sharepoint.com/:w:/r/sites/accessibility/_layouts/15/Doc.aspx?sourcedoc=%7b01839D9A-2E1B-423E-B7FA-A9BAD43FD301%7d&amp;amp;file=MAS%201.4.10%20%E2%80%93%20Reflow.docx&amp;amp;wdLOR=cE644E791-4BD0-43AB-8EE6-07C443CBDD40&amp;amp;action=default&amp;amp;mobileredirect=true&quot; style=&quot;box-sizing:border-box;text-decoration:underline;cursor:pointer;&quot;&gt;MAS 1.4.10 – Reflow&lt;/a&gt;&lt;br style=&quot;box-sizing:border-box;&quot;&gt;&lt;/span&gt; &lt;/div&gt;&lt;div style=&quot;box-sizing:border-box;font-family:&amp;quot;Segoe UI&amp;quot;, system-ui, &amp;quot;Apple Color Emoji&amp;quot;, &amp;quot;Segoe UI Emoji&amp;quot;, sans-serif;margin:0px 0in;&quot;&gt;&lt;br style=&quot;box-sizing:border-box;&quot;&gt; &lt;/div&gt;&lt;div style=&quot;box-sizing:border-box;font-family:&amp;quot;Segoe UI&amp;quot;, system-ui, &amp;quot;Apple Color Emoji&amp;quot;, &amp;quot;Segoe UI Emoji&amp;quot;, sans-serif;margin:0px 0in;&quot;&gt;&lt;b style=&quot;box-sizing:border-box;&quot;&gt;WCAG Reference:&lt;/b&gt; &lt;/div&gt;&lt;div style=&quot;box-sizing:border-box;font-family:&amp;quot;Segoe UI&amp;quot;, system-ui, &amp;quot;Apple Color Emoji&amp;quot;, &amp;quot;Segoe UI Emoji&amp;quot;, sans-serif;margin:0px 0in;&quot;&gt;&lt;a href=&quot;https://www.w3.org/WAI/WCAG21/Understanding/non-text-content.html&quot; style=&quot;box-sizing:border-box;text-decoration:underline;cursor:pointer;&quot;&gt;&lt;span lang=en-IN style=&quot;box-sizing:border-box;&quot;&gt;&lt;/span&gt;&lt;/a&gt; &lt;/div&gt;&lt;a href=&quot;https://www.w3.org/WAI/WCAG21/Understanding/reflow.html&quot; style=&quot;box-sizing:border-box;text-decoration:underline;cursor:pointer;font-family:&amp;quot;Segoe UI&amp;quot;, system-ui, &amp;quot;Apple Color Emoji&amp;quot;, &amp;quot;Segoe UI Emoji&amp;quot;, sans-serif;&quot;&gt;https://www.w3.org/WAI/WCAG21/Understanding/reflow.html&lt;/a&gt; &lt;/div&gt; &lt;/div&gt;&lt;/span&gt; &lt;/div&gt; &lt;/div&gt; &lt;/div&gt; &lt;/div&gt;"/>
    <s v="Si"/>
    <x v="0"/>
    <s v="Enrique Monsalve "/>
  </r>
  <r>
    <n v="1518053"/>
    <s v="Bug"/>
    <s v="[Supporting the platform - OLP Power Apps - Content page]: In High contrast Aquatic modes, Keyboard focus indicator is not displaying properly for 'Home', 'Browse' links."/>
    <s v="New"/>
    <s v="Enrique Monsalve &lt;v-monsalvee@microsoft.com&gt;"/>
    <s v="No revisado"/>
    <s v="Mauricio"/>
    <s v="Completado"/>
    <s v="A11y-1STPARTY; A11yMAS; A11yMASP3; CommonBrowsers; HCL; HCL_OLP - MayJune FY22 New Update; MAS 4.3.1; NewBaselineAssessment; RecID_8303"/>
    <m/>
    <x v="0"/>
    <s v="&lt;div style=&quot;box-sizing:border-box;&quot;&gt;&lt;b&gt;&lt;/b&gt; &lt;/div&gt;&lt;div style=&quot;box-sizing:border-box;&quot;&gt;&lt;span style=&quot;box-sizing:border-box;&quot;&gt;&lt;p style=&quot;font-weight:400;margin:0in;&quot;&gt;&lt;b&gt;PWD Impact: -&lt;/b&gt;&lt;br&gt; &lt;/p&gt;&lt;/span&gt; &lt;/div&gt;&lt;div style=&quot;box-sizing:border-box;font-weight:400;&quot;&gt;&lt;span style=&quot;box-sizing:border-box;display:inline !important;&quot;&gt;&lt;span style=&quot;box-sizing:border-box;font-family:&amp;quot;Segoe UI&amp;quot;, sans-serif;display:inline !important;&quot;&gt;&lt;span style=&quot;box-sizing:border-box;display:inline !important;&quot;&gt;&lt;span style=&quot;display:inline !important;&quot;&gt;&lt;span style=&quot;display:inline !important;&quot;&gt;&lt;span style=&quot;display:inline !important;&quot;&gt;&lt;span style=&quot;display:inline !important;&quot;&gt;&lt;span style=&quot;box-sizing:border-box;display:inline !important;&quot;&gt;&lt;/span&gt;&lt;span style=&quot;display:inline !important;&quot;&gt;Color sensitive users who rely on High contrast modes are getting impacted to track the tab focus as In High contrast Aquatic modes, Keyboard focus indicator is not displaying properly for 'Home', 'Browse' links.&lt;/span&gt;&lt;span style=&quot;box-sizing:border-box;display:inline !important;&quot;&gt;&lt;/span&gt;&lt;/span&gt;&lt;/span&gt;&lt;/span&gt;&lt;/span&gt;&lt;/span&gt;&lt;/span&gt;&lt;/span&gt; &lt;/div&gt;&lt;div style=&quot;box-sizing:border-box;font-weight:400;&quot;&gt;&lt;br style=&quot;box-sizing:border-box;&quot;&gt; &lt;/div&gt;&lt;div style=&quot;box-sizing:border-box;font-weight:400;&quot;&gt;&lt;div style=&quot;box-sizing:border-box;&quot;&gt; &lt;/div&gt;&lt;div style=&quot;box-sizing:border-box;&quot;&gt;&lt;b style=&quot;box-sizing:border-box;font-family:&amp;quot;Segoe UI&amp;quot;, sans-serif;&quot;&gt;Test Environment:&lt;/b&gt;&lt;br style=&quot;box-sizing:border-box;&quot;&gt; &lt;/div&gt;&lt;div style=&quot;box-sizing:border-box;&quot;&gt; &lt;/div&gt; &lt;/div&gt;&lt;div style=&quot;box-sizing:border-box;font-weight:400;&quot;&gt; &lt;/div&gt;&lt;div style=&quot;box-sizing:border-box;font-weight:400;&quot;&gt; &lt;/div&gt;&lt;div style=&quot;box-sizing:border-box;font-weight:400;&quot;&gt; &lt;/div&gt;&lt;div style=&quot;box-sizing:border-box;font-weight:400;&quot;&gt; &lt;/div&gt;&lt;p style=&quot;box-sizing:border-box;font-weight:400;margin:0in;&quot;&gt; &lt;/p&gt;&lt;span style=&quot;box-sizing:border-box;font-weight:400;&quot;&gt;&lt;/span&gt;&lt;span style=&quot;box-sizing:border-box;font-weight:400;&quot;&gt;&lt;/span&gt;&lt;span style=&quot;box-sizing:border-box;font-weight:400;&quot;&gt;&lt;/span&gt;&lt;span&gt;OS: Windows 11 [Version 21H2 (OS Build 22000.856)]&lt;br&gt;&lt;/span&gt;&lt;div&gt;Browser: Edge Chromium (104.0.1293.54), Chrome (104.0.5112.81)&lt;br&gt; &lt;/div&gt;&lt;span&gt;&lt;/span&gt;&lt;div style=&quot;box-sizing:border-box;font-weight:400;&quot;&gt; &lt;/div&gt;&lt;div style=&quot;box-sizing:border-box;font-weight:400;&quot;&gt;&lt;span style=&quot;box-sizing:border-box;&quot;&gt;URL:&amp;nbsp;&lt;a href=&quot;https://apps.preview.powerapps.com/play/e/aa1775d6-89ae-47fb-b2cd-ebeb56163da6/a/347399e1-18ec-4002-aa22-c0285a367aaf?tenantId=72f988bf-86f1-41af-91ab-2d7cd011db47&quot;&gt;Onboarding App - Content - Power Apps&lt;/a&gt;&lt;/span&gt;&lt;br style=&quot;box-sizing:border-box;&quot;&gt; &lt;/div&gt;&lt;span style=&quot;box-sizing:border-box;font-weight:400;&quot;&gt;&lt;/span&gt;&lt;div style=&quot;box-sizing:border-box;font-weight:400;&quot;&gt; &lt;/div&gt;&lt;div style=&quot;box-sizing:border-box;font-weight:400;&quot;&gt; &lt;/div&gt;&lt;div style=&quot;box-sizing:border-box;font-weight:400;&quot;&gt;&lt;br&gt; &lt;/div&gt;&lt;div style=&quot;box-sizing:border-box;font-weight:400;&quot;&gt;&lt;p style=&quot;box-sizing:border-box;font-weight:bold;margin:0in;&quot;&gt;&lt;span style=&quot;box-sizing:border-box;&quot;&gt;Pre-Requisites:&lt;/span&gt; &lt;/p&gt;&lt;p style=&quot;box-sizing:border-box;margin:0in;&quot;&gt;Go to Settings-&amp;gt;Accessibility -&amp;gt; Contrast Themes-&amp;gt;Select Aquatic Mode. &lt;/p&gt;&lt;br&gt; &lt;/div&gt;&lt;div style=&quot;box-sizing:border-box;font-weight:400;&quot;&gt; &lt;/div&gt;&lt;div style=&quot;box-sizing:border-box;font-weight:400;&quot;&gt;&lt;p style=&quot;box-sizing:border-box;margin:0in;&quot;&gt;&lt;b style=&quot;box-sizing:border-box;&quot;&gt;Repro Steps:&lt;/b&gt;&lt;br style=&quot;box-sizing:border-box;&quot;&gt; &lt;/p&gt; &lt;/div&gt;&lt;div style=&quot;box-sizing:border-box;font-weight:400;&quot;&gt;&lt;div style=&quot;box-sizing:border-box;&quot;&gt;&lt;div style=&quot;box-sizing:border-box;&quot;&gt;&lt;div style=&quot;box-sizing:border-box;&quot;&gt;&lt;span style=&quot;box-sizing:border-box;&quot;&gt;&lt;div style=&quot;box-sizing:border-box;&quot;&gt; &lt;/div&gt;&lt;div style=&quot;box-sizing:border-box;&quot;&gt; &lt;/div&gt;&lt;div style=&quot;box-sizing:border-box;&quot;&gt; &lt;/div&gt;&lt;div style=&quot;box-sizing:border-box;&quot;&gt;Step 1:&lt;span style=&quot;box-sizing:border-box;&quot;&gt;&amp;nbsp;&lt;/span&gt;&lt;span style=&quot;box-sizing:border-box;color:rgb(36, 36, 36);font-family:-apple-system, BlinkMacSystemFont, &amp;quot;Segoe UI&amp;quot;, &amp;quot;Apple Color Emoji&amp;quot;, &amp;quot;Segoe UI Emoji&amp;quot;, &amp;quot;Segoe UI Web&amp;quot;, sans-serif;display:inline !important;&quot;&gt;Open the above URL in Edge Chromium Browser or chrome browser.&lt;/span&gt;&lt;span style=&quot;box-sizing:border-box;display:inline !important;&quot;&gt;&lt;/span&gt; &lt;/div&gt;&lt;/span&gt; &lt;/div&gt; &lt;/div&gt; &lt;/div&gt; &lt;/div&gt;&lt;div&gt;Step 2: 'Onboarding App - Content - Power Apps' page will appear.&amp;nbsp; &lt;/div&gt;&lt;div style=&quot;box-sizing:border-box;font-weight:400;&quot;&gt;&lt;div style=&quot;box-sizing:border-box;&quot;&gt;&lt;div style=&quot;box-sizing:border-box;&quot;&gt;&lt;div style=&quot;box-sizing:border-box;&quot;&gt;&lt;span style=&quot;box-sizing:border-box;&quot;&gt;&lt;div style=&quot;box-sizing:border-box;&quot;&gt;Step 3: &lt;span style=&quot;display:inline !important;&quot;&gt;&lt;span style=&quot;display:inline !important;&quot;&gt;Navigate to the controls using tab key.&lt;/span&gt;&lt;span style=&quot;box-sizing:border-box;&quot;&gt;&lt;/span&gt;&lt;/span&gt; &lt;/div&gt;&lt;div style=&quot;box-sizing:border-box;&quot;&gt;&lt;span style=&quot;box-sizing:border-box;&quot;&gt;&lt;span style=&quot;box-sizing:border-box;&quot;&gt;Step 4:&lt;span style=&quot;box-sizing:border-box;&quot;&gt;&amp;nbsp;&lt;/span&gt;&lt;/span&gt;&lt;span style=&quot;display:inline !important;&quot;&gt;Verify whether&amp;nbsp;In High contrast Aquatic modes, Keyboard focus indicator is not displaying properly for 'Home', 'Browse' links or not.&lt;/span&gt;&lt;br style=&quot;box-sizing:border-box;&quot;&gt;&lt;/span&gt; &lt;/div&gt;&lt;div style=&quot;box-sizing:border-box;&quot;&gt;&lt;span style=&quot;box-sizing:border-box;&quot;&gt;&lt;/span&gt; &lt;/div&gt;&lt;div style=&quot;box-sizing:border-box;&quot;&gt;&lt;span style=&quot;box-sizing:border-box;&quot;&gt;&lt;/span&gt; &lt;/div&gt;&lt;div style=&quot;box-sizing:border-box;&quot;&gt;&lt;span style=&quot;box-sizing:border-box;&quot;&gt;&lt;span style=&quot;box-sizing:border-box;font-family:Calibri, sans-serif;font-size:14.6667px;display:inline !important;&quot;&gt;&lt;span style=&quot;box-sizing:border-box;font-size:14px;display:inline !important;&quot;&gt;&lt;br style=&quot;box-sizing:border-box;&quot;&gt;&lt;/span&gt;&lt;/span&gt;&lt;/span&gt; &lt;/div&gt;&lt;/span&gt; &lt;/div&gt; &lt;/div&gt; &lt;/div&gt; &lt;/div&gt;&lt;div style=&quot;box-sizing:border-box;font-weight:400;&quot;&gt;&lt;div style=&quot;box-sizing:border-box;&quot;&gt;&lt;div style=&quot;box-sizing:border-box;&quot;&gt;&lt;b style=&quot;box-sizing:border-box;&quot;&gt;&lt;/b&gt; &lt;/div&gt; &lt;/div&gt; &lt;/div&gt;&lt;div style=&quot;box-sizing:border-box;font-weight:400;&quot;&gt;&lt;div style=&quot;box-sizing:border-box;&quot;&gt;&lt;div style=&quot;box-sizing:border-box;&quot;&gt;&lt;b style=&quot;box-sizing:border-box;&quot;&gt;Actual Result:&lt;/b&gt;&lt;br style=&quot;box-sizing:border-box;&quot;&gt; &lt;/div&gt; &lt;/div&gt; &lt;/div&gt;&lt;div style=&quot;box-sizing:border-box;font-weight:400;&quot;&gt; &lt;/div&gt;&lt;div style=&quot;box-sizing:border-box;font-weight:400;&quot;&gt;&lt;b style=&quot;box-sizing:border-box;&quot;&gt;&lt;span style=&quot;box-sizing:border-box;display:inline !important;&quot;&gt;&lt;/span&gt;&lt;/b&gt; &lt;/div&gt;&lt;div style=&quot;box-sizing:border-box;font-weight:400;&quot;&gt; &lt;/div&gt;&lt;div style=&quot;box-sizing:border-box;&quot;&gt;&lt;div style=&quot;font-weight:400;box-sizing:border-box;&quot;&gt; &lt;/div&gt; &lt;/div&gt;&lt;div style=&quot;box-sizing:border-box;&quot;&gt; &lt;/div&gt;&lt;div&gt;&amp;nbsp;In High contrast Aquatic modes, Keyboard focus indicator is not displaying properly for 'Home', 'Browse' links &lt;/div&gt;&lt;div&gt;&lt;b&gt;Note:1&lt;/b&gt; &lt;/div&gt;&lt;div&gt;&lt;b&gt;1. &lt;/b&gt;The progress&lt;span style=&quot;background:white;&quot;&gt;&amp;nbsp;bar is not displaying properly for left side_x000a_tiles.&lt;/span&gt; &lt;/div&gt;&lt;div&gt;&lt;span style=&quot;background:white;&quot;&gt;&lt;b&gt;2&lt;/b&gt;.&lt;span style=&quot;background:white;&quot;&gt;Time stamp is displayed twice on tiles.&lt;/span&gt;&lt;/span&gt; &lt;/div&gt;&lt;div&gt;&lt;p style=&quot;margin:0in;&quot;&gt;&lt;span style=&quot;font-weight:bold;color:black;&quot;&gt;Note:2&lt;/span&gt;&amp;nbsp;Same issue is observed_x000a_throughout the application for similar type of controls. &lt;/p&gt;&lt;br&gt; &lt;/div&gt;&lt;div style=&quot;box-sizing:border-box;&quot;&gt;&lt;div style=&quot;font-weight:400;box-sizing:border-box;&quot;&gt; &lt;/div&gt;&lt;div style=&quot;box-sizing:border-box;&quot;&gt;&lt;b style=&quot;box-sizing:border-box;&quot;&gt;Expected Result:&lt;br style=&quot;box-sizing:border-box;&quot;&gt;&lt;/b&gt;&lt;div style=&quot;font-weight:400;box-sizing:border-box;&quot;&gt;&lt;div style=&quot;box-sizing:border-box;&quot;&gt;&lt;span style=&quot;display:inline !important;&quot;&gt;&lt;span style=&quot;display:inline !important;&quot;&gt;&lt;span style=&quot;font-family:&amp;quot;Segoe UI&amp;quot;, system-ui, &amp;quot;Apple Color Emoji&amp;quot;, &amp;quot;Segoe UI Emoji&amp;quot;, sans-serif;display:inline !important;&quot;&gt;&lt;/span&gt;&lt;/span&gt;&lt;/span&gt; &lt;/div&gt; &lt;/div&gt;In High contrast Aquatic modes, Keyboard focus indicator &lt;span style=&quot;display:inline !important;&quot;&gt;should be clearly visible&lt;/span&gt;&amp;nbsp;for 'Home', 'Browse'. links&lt;span style=&quot;box-sizing:border-box;display:inline !important;&quot;&gt;&lt;/span&gt;&lt;div style=&quot;box-sizing:border-box;&quot;&gt;&lt;div style=&quot;box-sizing:border-box;&quot;&gt;&lt;br style=&quot;box-sizing:border-box;&quot;&gt; &lt;/div&gt;&lt;div style=&quot;box-sizing:border-box;&quot;&gt;&lt;div style=&quot;box-sizing:border-box;font-family:&amp;quot;Segoe UI&amp;quot;, system-ui, &amp;quot;Apple Color Emoji&amp;quot;, &amp;quot;Segoe UI Emoji&amp;quot;, sans-serif;&quot;&gt;&lt;b style=&quot;box-sizing:border-box;&quot;&gt;&lt;/b&gt; &lt;/div&gt;&lt;div style=&quot;box-sizing:border-box;font-family:&amp;quot;Segoe UI&amp;quot;, system-ui, &amp;quot;Apple Color Emoji&amp;quot;, &amp;quot;Segoe UI Emoji&amp;quot;, sans-serif;&quot;&gt;&lt;div style=&quot;box-sizing:border-box;&quot;&gt;&lt;b style=&quot;box-sizing:border-box;&quot;&gt;&lt;/b&gt; &lt;/div&gt;&lt;div style=&quot;box-sizing:border-box;&quot;&gt;&lt;div style=&quot;box-sizing:border-box;&quot;&gt;&lt;b style=&quot;box-sizing:border-box;&quot;&gt;MAS Reference Link:&lt;/b&gt; &lt;/div&gt;&lt;div style=&quot;box-sizing:border-box;&quot;&gt;&lt;a href=&quot;https://microsoft.sharepoint.com/:w:/r/sites/accessibility/_layouts/15/Doc.aspx?sourcedoc=%7b3870F7C4-7C43-43C6-A9F7-FD73D800BFD0%7d&amp;amp;file=MAS%204.3.1%20%E2%80%93%20No%20Disruption%20of%20Accessibility%20Features.docx&amp;amp;action=default&amp;amp;mobileredirect=true&quot; style=&quot;box-sizing:border-box;text-decoration:underline;&quot;&gt;MAS 4.3.1 – No Disruption of Accessibility Features&lt;/a&gt; &lt;/div&gt;&lt;div style=&quot;box-sizing:border-box;&quot;&gt;&lt;a href=&quot;https://www.w3.org/WAI/WCAG21/Understanding/contrast-minimum.html&quot; style=&quot;box-sizing:border-box;text-decoration:underline;cursor:pointer;&quot;&gt;&lt;/a&gt; &lt;/div&gt; &lt;/div&gt; &lt;/div&gt; &lt;/div&gt; &lt;/div&gt; &lt;/div&gt; &lt;/div&gt;&lt;div&gt;&lt;div&gt; &lt;/div&gt; &lt;/div&gt;&lt;div style=&quot;box-sizing:border-box;font-weight:400;&quot;&gt;&lt;div style=&quot;box-sizing:border-box;&quot;&gt;&lt;div style=&quot;box-sizing:border-box;&quot;&gt;&lt;div style=&quot;box-sizing:border-box;&quot;&gt; &lt;/div&gt; &lt;/div&gt; &lt;/div&gt; &lt;/div&gt;"/>
    <s v="Si"/>
    <x v="0"/>
    <s v="Enrique Monsalve "/>
  </r>
  <r>
    <n v="1518059"/>
    <s v="Bug"/>
    <s v="[Supporting the platform - OLP Power Apps - Content page]: In High contrast Aquatic Desert modes, Differentiation for selected/unselected tile is not able to differentiate"/>
    <s v="New"/>
    <s v="Enrique Monsalve &lt;v-monsalvee@microsoft.com&gt;"/>
    <s v="No revisado"/>
    <s v="Mauricio"/>
    <s v="Completado"/>
    <s v="A11y-1STPARTY; A11yMAS; A11yMASP3; CommonBrowsers; HCL; HCL_OLP - MayJune FY22 New Update; MAS 4.3.1; NewBaselineAssessment; RecID_8303"/>
    <m/>
    <x v="0"/>
    <s v="&lt;div style=&quot;box-sizing:border-box;&quot;&gt;&lt;b&gt;&lt;/b&gt; &lt;/div&gt;&lt;div style=&quot;box-sizing:border-box;&quot;&gt;&lt;span style=&quot;box-sizing:border-box;&quot;&gt;&lt;p style=&quot;font-weight:400;margin:0in;&quot;&gt;&lt;b&gt;PWD Impact: -&lt;/b&gt;&lt;br&gt; &lt;/p&gt;&lt;/span&gt; &lt;/div&gt;&lt;div style=&quot;box-sizing:border-box;font-weight:400;&quot;&gt;&lt;span style=&quot;box-sizing:border-box;display:inline !important;&quot;&gt;&lt;span style=&quot;box-sizing:border-box;font-family:&amp;quot;Segoe UI&amp;quot;, sans-serif;display:inline !important;&quot;&gt;&lt;span style=&quot;box-sizing:border-box;display:inline !important;&quot;&gt;&lt;span style=&quot;display:inline !important;&quot;&gt;&lt;span style=&quot;display:inline !important;&quot;&gt;&lt;span style=&quot;display:inline !important;&quot;&gt;&lt;span style=&quot;display:inline !important;&quot;&gt;&lt;span style=&quot;box-sizing:border-box;display:inline !important;&quot;&gt;&lt;/span&gt;&lt;span style=&quot;display:inline !important;&quot;&gt;Color sensitive users who rely on High contrast modes are getting impacted to track the tab focus as In High contrast &lt;span style=&quot;display:inline !important;&quot;&gt;Aquatic&amp;nbsp;&lt;/span&gt;&lt;span style=&quot;box-sizing:border-box;display:inline !important;&quot;&gt;Desert&lt;/span&gt; modes, Differentiation for selected/unselected tile is not able to differentiate.&lt;/span&gt;&lt;span style=&quot;box-sizing:border-box;display:inline !important;&quot;&gt;&lt;/span&gt;&lt;/span&gt;&lt;/span&gt;&lt;/span&gt;&lt;/span&gt;&lt;/span&gt;&lt;/span&gt;&lt;/span&gt; &lt;/div&gt;&lt;div style=&quot;box-sizing:border-box;font-weight:400;&quot;&gt;&lt;br style=&quot;box-sizing:border-box;&quot;&gt; &lt;/div&gt;&lt;div style=&quot;box-sizing:border-box;font-weight:400;&quot;&gt;&lt;div style=&quot;box-sizing:border-box;&quot;&gt; &lt;/div&gt;&lt;div style=&quot;box-sizing:border-box;&quot;&gt;&lt;b style=&quot;box-sizing:border-box;font-family:&amp;quot;Segoe UI&amp;quot;, sans-serif;&quot;&gt;Test Environment:&lt;/b&gt;&lt;br style=&quot;box-sizing:border-box;&quot;&gt; &lt;/div&gt;&lt;div style=&quot;box-sizing:border-box;&quot;&gt; &lt;/div&gt; &lt;/div&gt;&lt;div style=&quot;box-sizing:border-box;font-weight:400;&quot;&gt; &lt;/div&gt;&lt;div style=&quot;box-sizing:border-box;font-weight:400;&quot;&gt; &lt;/div&gt;&lt;div style=&quot;box-sizing:border-box;font-weight:400;&quot;&gt; &lt;/div&gt;&lt;div style=&quot;box-sizing:border-box;font-weight:400;&quot;&gt; &lt;/div&gt;&lt;p style=&quot;box-sizing:border-box;font-weight:400;margin:0in;&quot;&gt; &lt;/p&gt;&lt;span style=&quot;box-sizing:border-box;font-weight:400;&quot;&gt;&lt;/span&gt;&lt;span style=&quot;box-sizing:border-box;font-weight:400;&quot;&gt;&lt;/span&gt;&lt;span style=&quot;box-sizing:border-box;font-weight:400;&quot;&gt;&lt;/span&gt;&lt;span&gt;OS: Windows 11 [Version 21H2 (OS Build 22000.856)]&lt;br&gt;&lt;/span&gt;&lt;div&gt;Browser: Edge Chromium (104.0.1293.54), Chrome (104.0.5112.81)&lt;br&gt; &lt;/div&gt;&lt;span&gt;&lt;/span&gt;&lt;div style=&quot;box-sizing:border-box;font-weight:400;&quot;&gt; &lt;/div&gt;&lt;div style=&quot;box-sizing:border-box;font-weight:400;&quot;&gt;&lt;span style=&quot;box-sizing:border-box;&quot;&gt;URL:&amp;nbsp;&lt;a href=&quot;https://apps.preview.powerapps.com/play/e/aa1775d6-89ae-47fb-b2cd-ebeb56163da6/a/347399e1-18ec-4002-aa22-c0285a367aaf?tenantId=72f988bf-86f1-41af-91ab-2d7cd011db47&quot;&gt;Onboarding App - Content - Power Apps&lt;/a&gt;&lt;/span&gt;&lt;br style=&quot;box-sizing:border-box;&quot;&gt; &lt;/div&gt;&lt;span style=&quot;box-sizing:border-box;font-weight:400;&quot;&gt;&lt;/span&gt;&lt;div style=&quot;box-sizing:border-box;font-weight:400;&quot;&gt; &lt;/div&gt;&lt;div style=&quot;box-sizing:border-box;font-weight:400;&quot;&gt; &lt;/div&gt;&lt;div style=&quot;box-sizing:border-box;font-weight:400;&quot;&gt;&lt;br&gt; &lt;/div&gt;&lt;div style=&quot;box-sizing:border-box;font-weight:400;&quot;&gt;&lt;p style=&quot;box-sizing:border-box;font-weight:bold;margin:0in;&quot;&gt;&lt;span style=&quot;box-sizing:border-box;&quot;&gt;Pre-Requisites:&lt;/span&gt; &lt;/p&gt;&lt;p style=&quot;box-sizing:border-box;margin:0in;&quot;&gt;Go to Settings-&amp;gt;Accessibility -&amp;gt; Contrast Themes-&amp;gt;Select Aquatic Mode. &lt;/p&gt;&lt;br&gt; &lt;/div&gt;&lt;div style=&quot;box-sizing:border-box;font-weight:400;&quot;&gt; &lt;/div&gt;&lt;div style=&quot;box-sizing:border-box;font-weight:400;&quot;&gt;&lt;p style=&quot;box-sizing:border-box;margin:0in;&quot;&gt;&lt;b style=&quot;box-sizing:border-box;&quot;&gt;Repro Steps:&lt;/b&gt;&lt;br style=&quot;box-sizing:border-box;&quot;&gt; &lt;/p&gt; &lt;/div&gt;&lt;div style=&quot;box-sizing:border-box;font-weight:400;&quot;&gt;&lt;div style=&quot;box-sizing:border-box;&quot;&gt;&lt;div style=&quot;box-sizing:border-box;&quot;&gt;&lt;div style=&quot;box-sizing:border-box;&quot;&gt;&lt;span style=&quot;box-sizing:border-box;&quot;&gt;&lt;div style=&quot;box-sizing:border-box;&quot;&gt; &lt;/div&gt;&lt;div style=&quot;box-sizing:border-box;&quot;&gt; &lt;/div&gt;&lt;div style=&quot;box-sizing:border-box;&quot;&gt; &lt;/div&gt;&lt;div style=&quot;box-sizing:border-box;&quot;&gt;Step 1:&lt;span style=&quot;box-sizing:border-box;&quot;&gt;&amp;nbsp;&lt;/span&gt;&lt;span style=&quot;box-sizing:border-box;color:rgb(36, 36, 36);font-family:-apple-system, BlinkMacSystemFont, &amp;quot;Segoe UI&amp;quot;, &amp;quot;Apple Color Emoji&amp;quot;, &amp;quot;Segoe UI Emoji&amp;quot;, &amp;quot;Segoe UI Web&amp;quot;, sans-serif;display:inline !important;&quot;&gt;Open the above URL in Edge Chromium Browser or chrome browser.&lt;/span&gt;&lt;span style=&quot;box-sizing:border-box;display:inline !important;&quot;&gt;&lt;/span&gt; &lt;/div&gt;&lt;/span&gt; &lt;/div&gt; &lt;/div&gt; &lt;/div&gt; &lt;/div&gt;&lt;div&gt;Step 2: 'Onboarding App - Content - Power Apps' page will appear.&amp;nbsp; &lt;/div&gt;&lt;div style=&quot;box-sizing:border-box;font-weight:400;&quot;&gt;&lt;div style=&quot;box-sizing:border-box;&quot;&gt;&lt;div style=&quot;box-sizing:border-box;&quot;&gt;&lt;div style=&quot;box-sizing:border-box;&quot;&gt;&lt;span style=&quot;box-sizing:border-box;&quot;&gt;&lt;div style=&quot;box-sizing:border-box;&quot;&gt;Step 3: &lt;span style=&quot;display:inline !important;&quot;&gt;&lt;span style=&quot;display:inline !important;&quot;&gt;Navigate to the controls using tab key.&lt;/span&gt;&lt;span style=&quot;box-sizing:border-box;&quot;&gt;&lt;/span&gt;&lt;/span&gt; &lt;/div&gt;&lt;div style=&quot;box-sizing:border-box;&quot;&gt;&lt;span style=&quot;box-sizing:border-box;&quot;&gt;&lt;span style=&quot;box-sizing:border-box;&quot;&gt;Step 4:&lt;span style=&quot;box-sizing:border-box;&quot;&gt;&amp;nbsp;&lt;/span&gt;&lt;/span&gt;&lt;span style=&quot;display:inline !important;&quot;&gt;Verify whether&amp;nbsp;In High contrast &lt;span style=&quot;display:inline !important;&quot;&gt;Aquatic&amp;nbsp;&lt;/span&gt;&lt;span style=&quot;box-sizing:border-box;display:inline !important;&quot;&gt;Desert&lt;/span&gt; modes, Differentiation for selected/unselected tile is not able to differentiate or not.&lt;/span&gt;&lt;br style=&quot;box-sizing:border-box;&quot;&gt;&lt;/span&gt; &lt;/div&gt;&lt;div style=&quot;box-sizing:border-box;&quot;&gt;&lt;span style=&quot;box-sizing:border-box;&quot;&gt;&lt;/span&gt; &lt;/div&gt;&lt;div style=&quot;box-sizing:border-box;&quot;&gt;&lt;span style=&quot;box-sizing:border-box;&quot;&gt;&lt;/span&gt; &lt;/div&gt;&lt;div style=&quot;box-sizing:border-box;&quot;&gt;&lt;span style=&quot;box-sizing:border-box;&quot;&gt;&lt;span style=&quot;box-sizing:border-box;font-family:Calibri, sans-serif;font-size:14.6667px;display:inline !important;&quot;&gt;&lt;span style=&quot;box-sizing:border-box;font-size:14px;display:inline !important;&quot;&gt;&lt;br style=&quot;box-sizing:border-box;&quot;&gt;&lt;/span&gt;&lt;/span&gt;&lt;/span&gt; &lt;/div&gt;&lt;/span&gt; &lt;/div&gt; &lt;/div&gt; &lt;/div&gt; &lt;/div&gt;&lt;div style=&quot;box-sizing:border-box;font-weight:400;&quot;&gt;&lt;div style=&quot;box-sizing:border-box;&quot;&gt;&lt;div style=&quot;box-sizing:border-box;&quot;&gt;&lt;b style=&quot;box-sizing:border-box;&quot;&gt;&lt;/b&gt; &lt;/div&gt; &lt;/div&gt; &lt;/div&gt;&lt;div style=&quot;box-sizing:border-box;font-weight:400;&quot;&gt;&lt;div style=&quot;box-sizing:border-box;&quot;&gt;&lt;div style=&quot;box-sizing:border-box;&quot;&gt;&lt;b style=&quot;box-sizing:border-box;&quot;&gt;Actual Result:&lt;/b&gt;&lt;br style=&quot;box-sizing:border-box;&quot;&gt; &lt;/div&gt; &lt;/div&gt; &lt;/div&gt;&lt;div style=&quot;box-sizing:border-box;font-weight:400;&quot;&gt; &lt;/div&gt;&lt;div style=&quot;box-sizing:border-box;font-weight:400;&quot;&gt;&lt;b style=&quot;box-sizing:border-box;&quot;&gt;&lt;span style=&quot;box-sizing:border-box;display:inline !important;&quot;&gt;&lt;/span&gt;&lt;/b&gt; &lt;/div&gt;&lt;div style=&quot;box-sizing:border-box;font-weight:400;&quot;&gt; &lt;/div&gt;&lt;div style=&quot;box-sizing:border-box;&quot;&gt;&lt;div style=&quot;font-weight:400;box-sizing:border-box;&quot;&gt; &lt;/div&gt; &lt;/div&gt;&lt;div style=&quot;box-sizing:border-box;&quot;&gt; &lt;/div&gt;&lt;div&gt;In High contrast&amp;nbsp;&lt;span style=&quot;display:inline !important;&quot;&gt;Aquatic&amp;nbsp;&lt;/span&gt;&lt;span style=&quot;box-sizing:border-box;display:inline !important;&quot;&gt;Desert&lt;/span&gt; modes, Differentiation for selected/unselected tile is not able to differentiate &lt;/div&gt;&lt;div&gt;&lt;br&gt; &lt;/div&gt;&lt;div style=&quot;box-sizing:border-box;&quot;&gt;&lt;div style=&quot;font-weight:400;box-sizing:border-box;&quot;&gt; &lt;/div&gt;&lt;div style=&quot;box-sizing:border-box;&quot;&gt;&lt;b style=&quot;box-sizing:border-box;&quot;&gt;Expected Result:&lt;br style=&quot;box-sizing:border-box;&quot;&gt;&lt;/b&gt;&lt;div style=&quot;font-weight:400;box-sizing:border-box;&quot;&gt;&lt;div style=&quot;box-sizing:border-box;&quot;&gt;&lt;span style=&quot;display:inline !important;&quot;&gt;&lt;span style=&quot;display:inline !important;&quot;&gt;&lt;span style=&quot;font-family:&amp;quot;Segoe UI&amp;quot;, system-ui, &amp;quot;Apple Color Emoji&amp;quot;, &amp;quot;Segoe UI Emoji&amp;quot;, sans-serif;display:inline !important;&quot;&gt;&lt;/span&gt;&lt;/span&gt;&lt;/span&gt; &lt;/div&gt; &lt;/div&gt;In High contrast Aquatic&amp;nbsp;&lt;span style=&quot;display:inline !important;&quot;&gt;Desert&lt;/span&gt; modes, Differentiation for selected/unselected tile should be provided to differentiate.&lt;span style=&quot;box-sizing:border-box;display:inline !important;&quot;&gt;&lt;/span&gt;&lt;div style=&quot;box-sizing:border-box;&quot;&gt;&lt;div style=&quot;box-sizing:border-box;&quot;&gt;&lt;br style=&quot;box-sizing:border-box;&quot;&gt; &lt;/div&gt;&lt;div style=&quot;box-sizing:border-box;&quot;&gt;&lt;div style=&quot;box-sizing:border-box;font-family:&amp;quot;Segoe UI&amp;quot;, system-ui, &amp;quot;Apple Color Emoji&amp;quot;, &amp;quot;Segoe UI Emoji&amp;quot;, sans-serif;&quot;&gt;&lt;b style=&quot;box-sizing:border-box;&quot;&gt;&lt;/b&gt; &lt;/div&gt;&lt;div style=&quot;box-sizing:border-box;font-family:&amp;quot;Segoe UI&amp;quot;, system-ui, &amp;quot;Apple Color Emoji&amp;quot;, &amp;quot;Segoe UI Emoji&amp;quot;, sans-serif;&quot;&gt;&lt;div style=&quot;box-sizing:border-box;&quot;&gt;&lt;b style=&quot;box-sizing:border-box;&quot;&gt;&lt;/b&gt; &lt;/div&gt;&lt;div style=&quot;box-sizing:border-box;&quot;&gt;&lt;div style=&quot;box-sizing:border-box;&quot;&gt;&lt;b style=&quot;box-sizing:border-box;&quot;&gt;MAS Reference Link:&lt;/b&gt; &lt;/div&gt;&lt;div style=&quot;box-sizing:border-box;&quot;&gt;&lt;a href=&quot;https://microsoft.sharepoint.com/:w:/r/sites/accessibility/_layouts/15/Doc.aspx?sourcedoc=%7b3870F7C4-7C43-43C6-A9F7-FD73D800BFD0%7d&amp;amp;file=MAS%204.3.1%20%E2%80%93%20No%20Disruption%20of%20Accessibility%20Features.docx&amp;amp;action=default&amp;amp;mobileredirect=true&quot; style=&quot;box-sizing:border-box;text-decoration:underline;&quot;&gt;MAS 4.3.1 – No Disruption of Accessibility Features&lt;/a&gt; &lt;/div&gt;&lt;div style=&quot;box-sizing:border-box;&quot;&gt;&lt;a href=&quot;https://www.w3.org/WAI/WCAG21/Understanding/contrast-minimum.html&quot; style=&quot;box-sizing:border-box;text-decoration:underline;cursor:pointer;&quot;&gt;&lt;/a&gt; &lt;/div&gt; &lt;/div&gt; &lt;/div&gt; &lt;/div&gt; &lt;/div&gt; &lt;/div&gt; &lt;/div&gt;&lt;div&gt;&lt;div&gt; &lt;/div&gt; &lt;/div&gt;&lt;div style=&quot;box-sizing:border-box;font-weight:400;&quot;&gt;&lt;div style=&quot;box-sizing:border-box;&quot;&gt;&lt;div style=&quot;box-sizing:border-box;&quot;&gt;&lt;div style=&quot;box-sizing:border-box;&quot;&gt; &lt;/div&gt; &lt;/div&gt; &lt;/div&gt; &lt;/div&gt;"/>
    <s v="Si"/>
    <x v="0"/>
    <s v="Enrique Monsalve "/>
  </r>
  <r>
    <n v="1518070"/>
    <s v="Bug"/>
    <s v="[Supporting the platform - OLP Power Apps - Content page]: At 400% zoom mode, ensures every ARIA button, link and menu item has an accessible name"/>
    <s v="New"/>
    <s v="Enrique Monsalve &lt;v-monsalvee@microsoft.com&gt;"/>
    <s v="Si"/>
    <s v="Mauricio"/>
    <s v="Completado"/>
    <s v="A11y-1STPARTY; A11yMAS; A11yMASP3; CommonBrowsers; HCL; HCL_OLP - MayJune FY22 New Update; MAS 1.4.10; NewBaselineAssessment; RecID_8303"/>
    <m/>
    <x v="0"/>
    <s v="&lt;div style=&quot;box-sizing:border-box;&quot;&gt;&lt;b&gt;&lt;/b&gt; &lt;/div&gt;&lt;div style=&quot;box-sizing:border-box;&quot;&gt;&lt;span style=&quot;box-sizing:border-box;&quot;&gt;&lt;p style=&quot;font-weight:400;margin:0in;&quot;&gt;&lt;b&gt;PWD Impact: -&lt;/b&gt;&lt;br&gt; &lt;/p&gt;&lt;/span&gt; &lt;/div&gt;&lt;div style=&quot;box-sizing:border-box;font-weight:400;&quot;&gt;&lt;span style=&quot;box-sizing:border-box;display:inline !important;&quot;&gt;&lt;span style=&quot;box-sizing:border-box;font-family:&amp;quot;Segoe UI&amp;quot;, sans-serif;display:inline !important;&quot;&gt;&lt;span style=&quot;box-sizing:border-box;display:inline !important;&quot;&gt;&lt;span style=&quot;display:inline !important;&quot;&gt;&lt;span style=&quot;display:inline !important;&quot;&gt;&lt;span style=&quot;display:inline !important;&quot;&gt;&lt;span style=&quot;display:inline !important;&quot;&gt;&lt;span style=&quot;box-sizing:border-box;display:inline !important;&quot;&gt;&lt;/span&gt;&lt;span style=&quot;display:inline !important;&quot;&gt;&lt;span style=&quot;color:rgb(30, 30, 30);font-family:arial;font-size:15px;display:inline !important;&quot;&gt;Screen reader users are not able to discern the purpose of elements with&lt;span&gt;&amp;nbsp;&lt;/span&gt;&lt;/span&gt;&lt;code style=&quot;box-sizing:border-box;font-family:Inconsolata, &amp;quot;Courier New&amp;quot;, Courier, monspace;font-size:15px;background:rgb(241, 241, 241);border:1px solid rgb(221, 221, 221);display:inline;color:rgb(30, 30, 30);line-height:1.8em;&quot;&gt;role=&amp;quot;link&amp;quot;&lt;/code&gt;&lt;span style=&quot;color:rgb(30, 30, 30);font-family:arial;font-size:15px;display:inline !important;&quot;&gt;,&lt;span&gt;&amp;nbsp;&lt;/span&gt;&lt;/span&gt;&lt;code style=&quot;box-sizing:border-box;font-family:Inconsolata, &amp;quot;Courier New&amp;quot;, Courier, monspace;font-size:15px;background:rgb(241, 241, 241);border:1px solid rgb(221, 221, 221);display:inline;color:rgb(30, 30, 30);line-height:1.8em;&quot;&gt;role=&amp;quot;button&amp;quot;&lt;/code&gt;&lt;span style=&quot;color:rgb(30, 30, 30);font-family:arial;font-size:15px;display:inline !important;&quot;&gt;, or&lt;span&gt;&amp;nbsp;&lt;/span&gt;&lt;/span&gt;&lt;code style=&quot;box-sizing:border-box;font-family:Inconsolata, &amp;quot;Courier New&amp;quot;, Courier, monspace;font-size:15px;background:rgb(241, 241, 241);border:1px solid rgb(221, 221, 221);display:inline;color:rgb(30, 30, 30);line-height:1.8em;&quot;&gt;role=&amp;quot;menuitem&amp;quot;&lt;/code&gt;&lt;span style=&quot;color:rgb(30, 30, 30);font-family:arial;font-size:15px;display:inline !important;&quot;&gt;&lt;span&gt;&amp;nbsp;&lt;/span&gt;that do not have an accessible name.&lt;/span&gt;&lt;/span&gt;&lt;span style=&quot;box-sizing:border-box;display:inline !important;&quot;&gt;&lt;/span&gt;&lt;/span&gt;&lt;/span&gt;&lt;/span&gt;&lt;/span&gt;&lt;/span&gt;&lt;/span&gt;&lt;/span&gt;&lt;/div&gt;&lt;div style=&quot;box-sizing:border-box;font-weight:400;&quot;&gt;&lt;br style=&quot;box-sizing:border-box;&quot;&gt; &lt;/div&gt;&lt;div style=&quot;box-sizing:border-box;font-weight:400;&quot;&gt;&lt;div style=&quot;box-sizing:border-box;&quot;&gt; &lt;/div&gt;&lt;div style=&quot;box-sizing:border-box;&quot;&gt;&lt;b style=&quot;box-sizing:border-box;font-family:&amp;quot;Segoe UI&amp;quot;, sans-serif;&quot;&gt;Test Environment:&lt;/b&gt;&lt;br style=&quot;box-sizing:border-box;&quot;&gt; &lt;/div&gt;&lt;div style=&quot;box-sizing:border-box;&quot;&gt; &lt;/div&gt; &lt;/div&gt;&lt;div style=&quot;box-sizing:border-box;font-weight:400;&quot;&gt; &lt;/div&gt;&lt;div style=&quot;box-sizing:border-box;font-weight:400;&quot;&gt; &lt;/div&gt;&lt;div style=&quot;box-sizing:border-box;font-weight:400;&quot;&gt; &lt;/div&gt;&lt;div style=&quot;box-sizing:border-box;font-weight:400;&quot;&gt; &lt;/div&gt;&lt;p style=&quot;box-sizing:border-box;font-weight:400;margin:0in;&quot;&gt; &lt;/p&gt;&lt;span style=&quot;box-sizing:border-box;font-weight:400;&quot;&gt;&lt;/span&gt;&lt;span style=&quot;box-sizing:border-box;font-weight:400;&quot;&gt;&lt;/span&gt;&lt;span style=&quot;box-sizing:border-box;font-weight:400;&quot;&gt;&lt;/span&gt;&lt;span&gt;OS: Windows 11 [Version 21H2 (OS Build 22000.856)]&lt;br&gt;&lt;/span&gt;&lt;div&gt;Browser: Edge Chromium (104.0.1293.54), Chrome (104.0.5112.81)&lt;br&gt; &lt;/div&gt;&lt;span&gt;&lt;/span&gt;&lt;div style=&quot;box-sizing:border-box;font-weight:400;&quot;&gt; &lt;/div&gt;&lt;div style=&quot;box-sizing:border-box;font-weight:400;&quot;&gt;&lt;span style=&quot;box-sizing:border-box;&quot;&gt;URL:&amp;nbsp;&lt;a href=&quot;https://apps.preview.powerapps.com/play/e/aa1775d6-89ae-47fb-b2cd-ebeb56163da6/a/347399e1-18ec-4002-aa22-c0285a367aaf?tenantId=72f988bf-86f1-41af-91ab-2d7cd011db47&quot;&gt;Onboarding App - Content - Power Apps&lt;/a&gt;&lt;/span&gt;&lt;br style=&quot;box-sizing:border-box;&quot;&gt; &lt;/div&gt;&lt;span style=&quot;box-sizing:border-box;font-weight:400;&quot;&gt;&lt;/span&gt;&lt;div style=&quot;box-sizing:border-box;font-weight:400;&quot;&gt; &lt;/div&gt;&lt;div style=&quot;box-sizing:border-box;font-weight:400;&quot;&gt; &lt;/div&gt;&lt;div style=&quot;box-sizing:border-box;font-weight:400;&quot;&gt;&lt;br&gt; &lt;/div&gt;&lt;div style=&quot;box-sizing:border-box;font-weight:400;&quot;&gt;&lt;div style=&quot;box-sizing:border-box;&quot;&gt;&lt;b style=&quot;box-sizing:border-box;&quot;&gt;Pre-Requisites:&lt;/b&gt;&lt;/div&gt;&lt;div style=&quot;box-sizing:border-box;&quot;&gt;&lt;span style=&quot;box-sizing:border-box;&quot;&gt;&lt;span style=&quot;box-sizing:border-box;display:inline !important;&quot;&gt;Step 1: Enable Display setting to a scale resolution of 1280*1024.&lt;/span&gt;&lt;/span&gt;&lt;/div&gt;&lt;div style=&quot;box-sizing:border-box;&quot;&gt;&lt;span style=&quot;box-sizing:border-box;&quot;&gt;Step 2: Enable the browser setting to 400% Zoom mode.&lt;/span&gt;&lt;/div&gt;&lt;/div&gt;&lt;div style=&quot;box-sizing:border-box;font-weight:400;&quot;&gt;&lt;p style=&quot;box-sizing:border-box;font-weight:bold;margin:0in;&quot;&gt;&lt;br&gt;&lt;/p&gt;&lt;/div&gt;&lt;div style=&quot;box-sizing:border-box;font-weight:400;&quot;&gt; &lt;/div&gt;&lt;div style=&quot;box-sizing:border-box;font-weight:400;&quot;&gt;&lt;p style=&quot;box-sizing:border-box;margin:0in;&quot;&gt;&lt;b style=&quot;box-sizing:border-box;&quot;&gt;Repro Steps:&lt;/b&gt;&lt;br style=&quot;box-sizing:border-box;&quot;&gt; &lt;/p&gt; &lt;/div&gt;&lt;div style=&quot;box-sizing:border-box;font-weight:400;&quot;&gt;&lt;div style=&quot;box-sizing:border-box;&quot;&gt;&lt;div style=&quot;box-sizing:border-box;&quot;&gt;&lt;div style=&quot;box-sizing:border-box;&quot;&gt;&lt;span style=&quot;box-sizing:border-box;&quot;&gt;&lt;div style=&quot;box-sizing:border-box;&quot;&gt; &lt;/div&gt;&lt;div style=&quot;box-sizing:border-box;&quot;&gt; &lt;/div&gt;&lt;div style=&quot;box-sizing:border-box;&quot;&gt; &lt;/div&gt;&lt;div style=&quot;box-sizing:border-box;&quot;&gt;Step 1:&lt;span style=&quot;box-sizing:border-box;&quot;&gt;&amp;nbsp;&lt;/span&gt;&lt;span style=&quot;box-sizing:border-box;color:rgb(36, 36, 36);font-family:-apple-system, BlinkMacSystemFont, &amp;quot;Segoe UI&amp;quot;, &amp;quot;Apple Color Emoji&amp;quot;, &amp;quot;Segoe UI Emoji&amp;quot;, &amp;quot;Segoe UI Web&amp;quot;, sans-serif;display:inline !important;&quot;&gt;Open the above URL in Edge Chromium Browser or chrome browser.&lt;/span&gt;&lt;span style=&quot;box-sizing:border-box;display:inline !important;&quot;&gt;&lt;/span&gt; &lt;/div&gt;&lt;/span&gt; &lt;/div&gt; &lt;/div&gt; &lt;/div&gt; &lt;/div&gt;&lt;div&gt;Step 2: 'Onboarding App - Content - Power Apps' page will appear.&amp;nbsp; &lt;/div&gt;&lt;div style=&quot;box-sizing:border-box;font-weight:400;&quot;&gt;&lt;div style=&quot;box-sizing:border-box;&quot;&gt;&lt;div style=&quot;box-sizing:border-box;&quot;&gt;&lt;div style=&quot;box-sizing:border-box;&quot;&gt;&lt;span style=&quot;box-sizing:border-box;&quot;&gt;&lt;div style=&quot;box-sizing:border-box;&quot;&gt;Step 3:&amp;nbsp;&lt;span style=&quot;display:inline !important;&quot;&gt;Run accessibility for Web&lt;/span&gt;&lt;span style=&quot;display:inline !important;&quot;&gt;&lt;span style=&quot;display:inline !important;&quot;&gt;&lt;/span&gt;&lt;span style=&quot;box-sizing:border-box;&quot;&gt;&lt;/span&gt;&lt;/span&gt; &lt;/div&gt;&lt;div style=&quot;box-sizing:border-box;&quot;&gt;&lt;span style=&quot;box-sizing:border-box;&quot;&gt;&lt;span style=&quot;box-sizing:border-box;&quot;&gt;Step 4:&lt;span style=&quot;box-sizing:border-box;&quot;&gt;&amp;nbsp;&lt;/span&gt;&lt;/span&gt;&lt;span style=&quot;display:inline !important;&quot;&gt;Verify whether at 400% zoom mode, ensures every ARIA button, link and menu item has an accessible name&lt;/span&gt;&lt;br style=&quot;box-sizing:border-box;&quot;&gt;&lt;/span&gt; &lt;/div&gt;&lt;div style=&quot;box-sizing:border-box;&quot;&gt;&lt;span style=&quot;box-sizing:border-box;&quot;&gt;&lt;/span&gt; &lt;/div&gt;&lt;div style=&quot;box-sizing:border-box;&quot;&gt;&lt;span style=&quot;box-sizing:border-box;&quot;&gt;&lt;/span&gt; &lt;/div&gt;&lt;div style=&quot;box-sizing:border-box;&quot;&gt;&lt;span style=&quot;box-sizing:border-box;&quot;&gt;&lt;span style=&quot;box-sizing:border-box;font-family:Calibri, sans-serif;font-size:14.6667px;display:inline !important;&quot;&gt;&lt;span style=&quot;box-sizing:border-box;font-size:14px;display:inline !important;&quot;&gt;&lt;br style=&quot;box-sizing:border-box;&quot;&gt;&lt;/span&gt;&lt;/span&gt;&lt;/span&gt; &lt;/div&gt;&lt;/span&gt; &lt;/div&gt; &lt;/div&gt; &lt;/div&gt; &lt;/div&gt;&lt;div style=&quot;box-sizing:border-box;font-weight:400;&quot;&gt;&lt;div style=&quot;box-sizing:border-box;&quot;&gt;&lt;div style=&quot;box-sizing:border-box;&quot;&gt;&lt;b style=&quot;box-sizing:border-box;&quot;&gt;&lt;/b&gt; &lt;/div&gt; &lt;/div&gt; &lt;/div&gt;&lt;div style=&quot;box-sizing:border-box;font-weight:400;&quot;&gt;&lt;div style=&quot;box-sizing:border-box;&quot;&gt;&lt;div style=&quot;box-sizing:border-box;&quot;&gt;&lt;b style=&quot;box-sizing:border-box;&quot;&gt;Actual Result:&lt;/b&gt;&lt;br style=&quot;box-sizing:border-box;&quot;&gt; &lt;/div&gt; &lt;/div&gt; &lt;/div&gt;&lt;div style=&quot;box-sizing:border-box;font-weight:400;&quot;&gt; &lt;/div&gt;&lt;div style=&quot;box-sizing:border-box;font-weight:400;&quot;&gt;&lt;b style=&quot;box-sizing:border-box;&quot;&gt;&lt;span style=&quot;box-sizing:border-box;display:inline !important;&quot;&gt;&lt;/span&gt;&lt;/b&gt; &lt;/div&gt;&lt;div style=&quot;box-sizing:border-box;font-weight:400;&quot;&gt; &lt;/div&gt;&lt;div style=&quot;box-sizing:border-box;&quot;&gt;&lt;div style=&quot;font-weight:400;box-sizing:border-box;&quot;&gt; &lt;/div&gt; &lt;/div&gt;&lt;div style=&quot;box-sizing:border-box;&quot;&gt; &lt;/div&gt;&lt;div&gt;At 400% zoom mode, ensures every ARIA button, link and menu item has an accessible name&lt;/div&gt;&lt;div&gt;&lt;span style=&quot;font-weight:600;&quot;&gt;Path: -&amp;nbsp;&lt;span style=&quot;font-weight:400;display:inline !important;&quot;&gt;#fullscreen-app-host;div[data-shortcut-id=&amp;quot;13&amp;quot;]&lt;/span&gt;&lt;/span&gt;&lt;/div&gt;&lt;div&gt;&lt;span style=&quot;&quot;&gt;&lt;span style=&quot;display:inline !important;&quot;&gt;&lt;table style=&quot;display:table;table-layout:fixed;width:-webkit-fill-available;border-collapse:collapse;word-break:break-word;&quot;&gt;&lt;tbody style=&quot;&quot;&gt;&lt;tr style=&quot;display:flex;flex-wrap:wrap;padding:2px 20px 14px 0px;&quot;&gt;&lt;th style=&quot;margin:12px 0px 0px 20px;flex:0 1 90px;line-height:20px;text-align:left;&quot;&gt;Snippet&lt;/th&gt;&lt;td style=&quot;font-weight:400;font-family:menlo, consolas, &amp;quot;courier new&amp;quot;, monospace;margin:12px 0px 0px 20px;flex:1 1 200px;line-height:20px;align-items:flex-end;display:flex;&quot;&gt;&amp;lt;div class=&amp;quot;powerapps-icon no-focus-outline&amp;quot; touch-action=&amp;quot;pan-x pan-y&amp;quot; data-control-part=&amp;quot;icon&amp;quot; data-bind=&amp;quot; event: { click: handleClick }, shortcut: { provider: shortcutProvider, capture: false }, attr: { title: properties.Tooltip() || null, role: (properties.TabIndex() &amp;lt; 0) ? (!!properties.AccessibleLabel() &amp;amp;amp;&amp;amp;amp; 'img') : 'button', 'aria-label': properties.AccessibleLabel() || null, 'aria-disabled': (properties.TabIndex() &amp;gt;&lt;/td&gt;&lt;/tr&gt;&lt;/tbody&gt;&lt;/table&gt;&lt;table style=&quot;display:table;table-layout:fixed;width:-webkit-fill-available;border-collapse:collapse;word-break:break-word;&quot;&gt;&lt;tbody&gt;&lt;tr style=&quot;display:flex;flex-wrap:wrap;padding:2px 20px 14px 0px;border-bottom:none;&quot;&gt;&lt;th style=&quot;margin:12px 0px 0px 20px;flex:0 1 90px;line-height:20px;font-weight:600;text-align:left;&quot;&gt;How to fix&lt;/th&gt;&lt;td style=&quot;margin:12px 0px 0px 20px;flex:1 1 200px;line-height:20px;align-items:flex-end;display:flex;&quot;&gt;&lt;div style=&quot;margin-bottom:16px;&quot;&gt;&lt;div&gt;&lt;div&gt;Fix ONE of the following:&lt;/div&gt;&lt;ul style=&quot;padding-left:16px;&quot;&gt;&lt;li style=&quot;margin-bottom:4px;&quot;&gt;Element does not have text that is visible to screen readers&lt;/li&gt;&lt;li style=&quot;margin-bottom:4px;&quot;&gt;aria-label attribute does not exist or is empty&lt;/li&gt;&lt;li style=&quot;margin-bottom:4px;&quot;&gt;aria-labelledby attribute does not exist, references elements that do not exist or references elements that are empty&lt;/li&gt;&lt;li style=&quot;margin-bottom:4px;&quot;&gt;Element has no title attribute&lt;/li&gt;&lt;/ul&gt;&lt;/div&gt;&lt;/div&gt;&lt;/td&gt;&lt;/tr&gt;&lt;/tbody&gt;&lt;/table&gt;&lt;/span&gt;&lt;/span&gt;&lt;/div&gt;&lt;div style=&quot;box-sizing:border-box;&quot;&gt;&lt;div style=&quot;box-sizing:border-box;&quot;&gt;&lt;span style=&quot;box-sizing:border-box;display:inline !important;&quot;&gt;&lt;b style=&quot;box-sizing:border-box;&quot;&gt;Expected Result:&lt;/b&gt;&lt;/span&gt;&lt;/div&gt;&lt;div style=&quot;box-sizing:border-box;&quot;&gt;&lt;span style=&quot;box-sizing:border-box;display:inline !important;&quot;&gt;&lt;b&gt;&lt;span style=&quot;font-weight:400;display:inline !important;&quot;&gt;Ensures every ARIA button, link and menuitem has an accessible name.&lt;/span&gt;&lt;br&gt;&lt;/b&gt;&lt;/span&gt;&lt;div style=&quot;box-sizing:border-box;&quot;&gt;&lt;div style=&quot;box-sizing:border-box;&quot;&gt;&lt;br style=&quot;box-sizing:border-box;&quot;&gt; &lt;/div&gt;&lt;div style=&quot;box-sizing:border-box;&quot;&gt;&lt;div style=&quot;box-sizing:border-box;font-family:&amp;quot;Segoe UI&amp;quot;, system-ui, &amp;quot;Apple Color Emoji&amp;quot;, &amp;quot;Segoe UI Emoji&amp;quot;, sans-serif;&quot;&gt;&lt;b style=&quot;box-sizing:border-box;&quot;&gt;&lt;/b&gt; &lt;/div&gt;&lt;div style=&quot;box-sizing:border-box;font-family:&amp;quot;Segoe UI&amp;quot;, system-ui, &amp;quot;Apple Color Emoji&amp;quot;, &amp;quot;Segoe UI Emoji&amp;quot;, sans-serif;&quot;&gt;&lt;div style=&quot;box-sizing:border-box;&quot;&gt;&lt;b style=&quot;box-sizing:border-box;&quot;&gt;&lt;/b&gt; &lt;/div&gt;&lt;div style=&quot;box-sizing:border-box;&quot;&gt;&lt;div style=&quot;box-sizing:border-box;&quot;&gt;&lt;b style=&quot;box-sizing:border-box;&quot;&gt;MAS Reference Link:&lt;/b&gt; &lt;/div&gt;&lt;div style=&quot;box-sizing:border-box;&quot;&gt;&lt;div style=&quot;box-sizing:border-box;&quot;&gt;&lt;a href=&quot;https://microsoft.sharepoint.com/:w:/s/accessibility/EZqdgwEbLj5Ct_qputQ_0wEBAc_eNWSn_BD2PjiotVjJlg?e=NgbzkZ&quot; style=&quot;box-sizing:border-box;text-decoration:underline;&quot;&gt;MAS 1.4.10 – Reflow&lt;/a&gt;&lt;/div&gt;&lt;div style=&quot;box-sizing:border-box;&quot;&gt;&amp;nbsp;&lt;/div&gt;&lt;div style=&quot;box-sizing:border-box;&quot;&gt;&lt;b style=&quot;box-sizing:border-box;&quot;&gt;WCAG&amp;nbsp;Link:&lt;/b&gt;&lt;/div&gt;&lt;div style=&quot;box-sizing:border-box;&quot;&gt;&lt;a href=&quot;https://www.w3.org/WAI/WCAG21/Understanding/reflow.html&quot; style=&quot;box-sizing:border-box;text-decoration:underline;&quot;&gt;https://www.w3.org/WAI/WCAG21/Understanding/reflow.html&lt;/a&gt;&lt;/div&gt;&lt;/div&gt;&lt;div style=&quot;box-sizing:border-box;&quot;&gt;&lt;a href=&quot;https://www.w3.org/WAI/WCAG21/Understanding/contrast-minimum.html&quot; style=&quot;box-sizing:border-box;text-decoration:underline;cursor:pointer;&quot;&gt;&lt;/a&gt; &lt;/div&gt; &lt;/div&gt; &lt;/div&gt; &lt;/div&gt; &lt;/div&gt; &lt;/div&gt; &lt;/div&gt;&lt;div&gt;&lt;div&gt; &lt;/div&gt; &lt;/div&gt;&lt;div style=&quot;box-sizing:border-box;font-weight:400;&quot;&gt;&lt;div style=&quot;box-sizing:border-box;&quot;&gt;&lt;div style=&quot;box-sizing:border-box;&quot;&gt;&lt;div style=&quot;box-sizing:border-box;&quot;&gt; &lt;/div&gt; &lt;/div&gt; &lt;/div&gt; &lt;/div&gt;"/>
    <s v="Si"/>
    <x v="0"/>
    <s v="William Pena "/>
  </r>
  <r>
    <n v="1517982"/>
    <s v="Bug"/>
    <s v="[Screen Readers - OLP Power Apps - Content page]: Screen reader focus moving multiple times to buttons in the page while navigating using the down arrow key."/>
    <s v="New"/>
    <s v="Enrique Monsalve &lt;v-monsalvee@microsoft.com&gt;"/>
    <s v="No revisado"/>
    <m/>
    <s v="Completado"/>
    <s v="A11y-1STPARTY; A11yMAS; A11yMASP3; CommonScreenReaders; HCL; HCL_OLP - MayJune FY22 New Update; MAS 1.3.1; NewBaselineAssessment; RecID_8303"/>
    <m/>
    <x v="1"/>
    <s v="&lt;div style=&quot;box-sizing:border-box;&quot;&gt;&lt;b&gt;&lt;/b&gt; &lt;/div&gt;&lt;div style=&quot;box-sizing:border-box;&quot;&gt;&lt;span style=&quot;box-sizing:border-box;&quot;&gt;&lt;p style=&quot;font-weight:400;margin:0in;&quot;&gt;&lt;b&gt;PWD Impact: -&lt;/b&gt;&lt;br&gt; &lt;/p&gt;&lt;/span&gt; &lt;/div&gt;&lt;div style=&quot;box-sizing:border-box;font-weight:400;&quot;&gt;&lt;span style=&quot;box-sizing:border-box;display:inline !important;&quot;&gt;&lt;span style=&quot;box-sizing:border-box;font-family:&amp;quot;Segoe UI&amp;quot;, sans-serif;display:inline !important;&quot;&gt;&lt;span style=&quot;box-sizing:border-box;display:inline !important;&quot;&gt;&lt;span style=&quot;display:inline !important;&quot;&gt;&lt;span style=&quot;display:inline !important;&quot;&gt;&lt;span style=&quot;display:inline !important;&quot;&gt;&lt;span style=&quot;display:inline !important;&quot;&gt;&lt;span style=&quot;display:inline !important;&quot;&gt;Screen Reader users will be impacted if&amp;nbsp;Screen reader focus moving multiple times to buttons in the page while navigating using down arrow key. It will lead to disorientation, and they get confused.&lt;/span&gt;&lt;/span&gt;&lt;/span&gt;&lt;/span&gt;&lt;/span&gt;&lt;/span&gt;&lt;/span&gt;&lt;/span&gt; &lt;/div&gt;&lt;div style=&quot;box-sizing:border-box;font-weight:400;&quot;&gt;&lt;b style=&quot;font-family:&amp;quot;Segoe UI&amp;quot;, sans-serif;&quot;&gt;&lt;br&gt;&lt;/b&gt; &lt;/div&gt;&lt;div style=&quot;box-sizing:border-box;font-weight:400;&quot;&gt;&lt;b style=&quot;font-family:&amp;quot;Segoe UI&amp;quot;, sans-serif;&quot;&gt;Test Environment:&lt;/b&gt;&lt;br&gt; &lt;/div&gt;&lt;div style=&quot;box-sizing:border-box;font-weight:400;&quot;&gt;&lt;div style=&quot;box-sizing:border-box;&quot;&gt; &lt;/div&gt; &lt;/div&gt;&lt;div style=&quot;box-sizing:border-box;font-weight:400;&quot;&gt; &lt;/div&gt;&lt;div style=&quot;box-sizing:border-box;font-weight:400;&quot;&gt; &lt;/div&gt;&lt;div style=&quot;box-sizing:border-box;font-weight:400;&quot;&gt; &lt;/div&gt;&lt;div style=&quot;box-sizing:border-box;font-weight:400;&quot;&gt; &lt;/div&gt;&lt;p style=&quot;box-sizing:border-box;font-weight:400;margin:0in;&quot;&gt; &lt;/p&gt;&lt;span style=&quot;box-sizing:border-box;font-weight:400;&quot;&gt;&lt;/span&gt;&lt;span style=&quot;box-sizing:border-box;font-weight:400;&quot;&gt;&lt;/span&gt;&lt;span style=&quot;box-sizing:border-box;font-weight:400;&quot;&gt;OS: Windows 11 [Version 21H2 (OS Build 22000.675)]&lt;br style=&quot;box-sizing:border-box;&quot;&gt;&lt;/span&gt;&lt;div style=&quot;box-sizing:border-box;font-weight:400;&quot;&gt;Browser: Edge Chromium (102.0.1245.30), Chrome (102.0.5005.63)&lt;br style=&quot;box-sizing:border-box;&quot;&gt; &lt;/div&gt;&lt;div style=&quot;box-sizing:border-box;font-weight:400;&quot;&gt;Screen readers: NVDA (2022.1), JAWS (2022.2204.20) &lt;/div&gt;&lt;div style=&quot;box-sizing:border-box;font-weight:400;&quot;&gt;&lt;span style=&quot;box-sizing:border-box;&quot;&gt;URL:&amp;nbsp;&lt;a href=&quot;https://apps.preview.powerapps.com/play/e/aa1775d6-89ae-47fb-b2cd-ebeb56163da6/a/347399e1-18ec-4002-aa22-c0285a367aaf?tenantId=72f988bf-86f1-41af-91ab-2d7cd011db47&quot;&gt;Onboarding App - Content - Power Apps&lt;/a&gt;&lt;/span&gt;&lt;br style=&quot;box-sizing:border-box;&quot;&gt; &lt;/div&gt;&lt;span style=&quot;box-sizing:border-box;font-weight:400;&quot;&gt;&lt;/span&gt;&lt;div style=&quot;box-sizing:border-box;font-weight:400;&quot;&gt; &lt;/div&gt;&lt;div style=&quot;box-sizing:border-box;font-weight:400;&quot;&gt; &lt;/div&gt;&lt;div style=&quot;box-sizing:border-box;font-weight:400;&quot;&gt;&lt;br style=&quot;box-sizing:border-box;&quot;&gt; &lt;/div&gt;&lt;div style=&quot;box-sizing:border-box;font-weight:400;&quot;&gt;&lt;span style=&quot;box-sizing:border-box;&quot;&gt;&lt;b style=&quot;box-sizing:border-box;&quot;&gt;Prerequisite:&lt;/b&gt;&lt;/span&gt; &lt;/div&gt;&lt;div style=&quot;box-sizing:border-box;font-weight:400;&quot;&gt;&lt;span style=&quot;box-sizing:border-box;&quot;&gt;Turn on NVDA/JAWS. Enable browse mode using 'insert+space'/'insert+Z' key.&lt;/span&gt;&lt;span style=&quot;box-sizing:border-box;&quot;&gt;&lt;b style=&quot;box-sizing:border-box;&quot;&gt;&lt;br style=&quot;box-sizing:border-box;&quot;&gt;&lt;/b&gt;&lt;/span&gt; &lt;/div&gt;&lt;div style=&quot;box-sizing:border-box;font-weight:400;&quot;&gt;&lt;span style=&quot;box-sizing:border-box;&quot;&gt;&lt;br style=&quot;box-sizing:border-box;&quot;&gt;&lt;/span&gt; &lt;/div&gt;&lt;div style=&quot;box-sizing:border-box;font-weight:400;&quot;&gt;&lt;p style=&quot;box-sizing:border-box;margin:0in;&quot;&gt;&lt;b style=&quot;box-sizing:border-box;&quot;&gt;Repro Steps:&lt;/b&gt;&lt;br style=&quot;box-sizing:border-box;&quot;&gt; &lt;/p&gt; &lt;/div&gt;&lt;div style=&quot;box-sizing:border-box;font-weight:400;&quot;&gt;&lt;div style=&quot;box-sizing:border-box;&quot;&gt;&lt;div style=&quot;box-sizing:border-box;&quot;&gt;&lt;div style=&quot;box-sizing:border-box;&quot;&gt;&lt;span style=&quot;box-sizing:border-box;&quot;&gt;&lt;div style=&quot;box-sizing:border-box;&quot;&gt; &lt;/div&gt;&lt;div style=&quot;box-sizing:border-box;&quot;&gt; &lt;/div&gt;&lt;div style=&quot;box-sizing:border-box;&quot;&gt; &lt;/div&gt;&lt;div style=&quot;box-sizing:border-box;&quot;&gt;Step 1:&lt;span style=&quot;box-sizing:border-box;&quot;&gt;&amp;nbsp;&lt;/span&gt;&lt;span style=&quot;box-sizing:border-box;color:rgb(36, 36, 36);font-family:-apple-system, BlinkMacSystemFont, &amp;quot;Segoe UI&amp;quot;, &amp;quot;Apple Color Emoji&amp;quot;, &amp;quot;Segoe UI Emoji&amp;quot;, &amp;quot;Segoe UI Web&amp;quot;, sans-serif;display:inline !important;&quot;&gt;Open the above URL in Edge Chromium Browser or chrome browser.&lt;/span&gt;&lt;span style=&quot;box-sizing:border-box;display:inline !important;&quot;&gt;&lt;/span&gt; &lt;/div&gt;&lt;/span&gt; &lt;/div&gt; &lt;/div&gt; &lt;/div&gt; &lt;/div&gt;&lt;div&gt;Step 2: 'Onboarding App - Content - Power Apps' page will appear-&amp;gt;Navigate to 'Home' control and activate it. &lt;/div&gt;&lt;div style=&quot;box-sizing:border-box;font-weight:400;&quot;&gt;&lt;div style=&quot;box-sizing:border-box;&quot;&gt;&lt;div style=&quot;box-sizing:border-box;&quot;&gt;&lt;div style=&quot;box-sizing:border-box;&quot;&gt;&lt;span style=&quot;box-sizing:border-box;&quot;&gt;&lt;div style=&quot;box-sizing:border-box;&quot;&gt;&lt;span&gt;Step 3:&amp;nbsp;&lt;/span&gt;&lt;span&gt;Verify whether&amp;nbsp;Screen reader focus moving multiple times to buttons in the page while navigating using the down arrow key or not.&lt;/span&gt;&lt;br&gt; &lt;/div&gt;&lt;div style=&quot;box-sizing:border-box;&quot;&gt; &lt;/div&gt;&lt;div style=&quot;box-sizing:border-box;&quot;&gt;&lt;span style=&quot;box-sizing:border-box;&quot;&gt;&lt;/span&gt; &lt;/div&gt;&lt;div style=&quot;box-sizing:border-box;&quot;&gt;&lt;span style=&quot;box-sizing:border-box;&quot;&gt;&lt;/span&gt; &lt;/div&gt;&lt;div style=&quot;box-sizing:border-box;&quot;&gt;&lt;span style=&quot;box-sizing:border-box;&quot;&gt;&lt;span style=&quot;box-sizing:border-box;font-family:Calibri, sans-serif;font-size:14.6667px;display:inline !important;&quot;&gt;&lt;span style=&quot;box-sizing:border-box;font-size:14px;display:inline !important;&quot;&gt;&lt;br style=&quot;box-sizing:border-box;&quot;&gt;&lt;/span&gt;&lt;/span&gt;&lt;/span&gt; &lt;/div&gt;&lt;/span&gt; &lt;/div&gt; &lt;/div&gt; &lt;/div&gt; &lt;/div&gt;&lt;div style=&quot;box-sizing:border-box;font-weight:400;&quot;&gt;&lt;div style=&quot;box-sizing:border-box;&quot;&gt;&lt;div style=&quot;box-sizing:border-box;&quot;&gt;&lt;b style=&quot;box-sizing:border-box;&quot;&gt;&lt;/b&gt; &lt;/div&gt; &lt;/div&gt; &lt;/div&gt;&lt;div style=&quot;box-sizing:border-box;font-weight:400;&quot;&gt;&lt;div style=&quot;box-sizing:border-box;&quot;&gt;&lt;div style=&quot;box-sizing:border-box;&quot;&gt;&lt;b style=&quot;box-sizing:border-box;&quot;&gt;Actual Result:&lt;/b&gt;&lt;br style=&quot;box-sizing:border-box;&quot;&gt; &lt;/div&gt; &lt;/div&gt; &lt;/div&gt;&lt;div style=&quot;box-sizing:border-box;font-weight:400;&quot;&gt; &lt;/div&gt;&lt;div style=&quot;box-sizing:border-box;font-weight:400;&quot;&gt;&lt;b style=&quot;box-sizing:border-box;&quot;&gt;&lt;span style=&quot;box-sizing:border-box;display:inline !important;&quot;&gt;&lt;/span&gt;&lt;/b&gt; &lt;/div&gt;&lt;div style=&quot;box-sizing:border-box;font-weight:400;&quot;&gt; &lt;/div&gt;&lt;div style=&quot;box-sizing:border-box;&quot;&gt;&lt;div style=&quot;font-weight:400;box-sizing:border-box;&quot;&gt; &lt;/div&gt; &lt;/div&gt;&lt;div style=&quot;box-sizing:border-box;&quot;&gt;Screen reader focus moving multiple times to buttons like assigned to you, bookmarked and completed in the page while navigating using the down arrow key.&lt;br&gt; &lt;/div&gt;&lt;div style=&quot;box-sizing:border-box;&quot;&gt;&lt;b style=&quot;box-sizing:border-box;&quot;&gt;Observation:&lt;/b&gt;&lt;span&gt;&amp;nbsp;Screen reader narrating as&amp;nbsp;&lt;span&gt;Assigned to you (3)&lt;br&gt;&lt;/span&gt;&lt;div&gt;button &amp;nbsp; &amp;nbsp;Assigned to you (31)&lt;br&gt; &lt;/div&gt;&lt;div&gt;Item 2&lt;br&gt; &lt;/div&gt;&lt;div&gt;Bookmarked (0)&lt;br&gt; &lt;/div&gt;&lt;div&gt;button &amp;nbsp; &amp;nbsp;Bookmarked (0)&lt;br&gt; &lt;/div&gt;&lt;div&gt;Item 3&lt;br&gt; &lt;/div&gt;&lt;div&gt;Completed (0)&lt;br&gt; &lt;/div&gt;&lt;div&gt;button &amp;nbsp; &amp;nbsp;Completed (18).&lt;br&gt; &lt;/div&gt;&lt;div&gt;Here we are observing that screen reader focus is moving multiple times and narrating incorrect information when focus is moving second time. &lt;/div&gt;&lt;span&gt;&lt;/span&gt;&lt;span&gt;&lt;/span&gt;&lt;span&gt;&lt;/span&gt;&lt;/span&gt; &lt;/div&gt;&lt;div style=&quot;box-sizing:border-box;font-weight:400;&quot;&gt;&lt;br style=&quot;box-sizing:border-box;&quot;&gt; &lt;/div&gt;&lt;div style=&quot;box-sizing:border-box;&quot;&gt;&lt;div style=&quot;font-weight:400;box-sizing:border-box;&quot;&gt; &lt;/div&gt;&lt;div style=&quot;box-sizing:border-box;&quot;&gt;&lt;b style=&quot;box-sizing:border-box;&quot;&gt;Expected Result:&lt;br style=&quot;box-sizing:border-box;&quot;&gt;&lt;/b&gt;&lt;div style=&quot;font-weight:400;box-sizing:border-box;&quot;&gt;&lt;div style=&quot;box-sizing:border-box;&quot;&gt;Screen reader focus should not move multiple times to buttons in the page while navigating using the down arrow key.&lt;br&gt; &lt;/div&gt; &lt;/div&gt;&lt;div style=&quot;box-sizing:border-box;&quot;&gt;&lt;div style=&quot;box-sizing:border-box;&quot;&gt;&lt;b&gt;Ex: &lt;/b&gt;Screen reader should announce as&lt;b&gt;&amp;nbsp;&lt;/b&gt;button&lt;b&gt;&amp;nbsp;&lt;span style=&quot;font-weight:400;display:inline !important;&quot;&gt;Assigned to you (3)&lt;/span&gt;&lt;/b&gt; &lt;/div&gt;&lt;div style=&quot;box-sizing:border-box;&quot;&gt;&lt;b&gt;&lt;span style=&quot;font-weight:400;display:inline !important;&quot;&gt;&lt;span style=&quot;display:inline !important;&quot;&gt;button Bookmarked (0)&lt;/span&gt;&lt;/span&gt;&lt;/b&gt; &lt;/div&gt;&lt;div style=&quot;box-sizing:border-box;&quot;&gt;&lt;b&gt;&lt;span style=&quot;font-weight:400;display:inline !important;&quot;&gt;&lt;span style=&quot;display:inline !important;&quot;&gt;&lt;span style=&quot;display:inline !important;&quot;&gt;button &amp;nbsp; &amp;nbsp;Completed (0)&lt;/span&gt;&lt;br&gt;&lt;/span&gt;&lt;/span&gt;&lt;/b&gt; &lt;/div&gt;&lt;div style=&quot;box-sizing:border-box;&quot;&gt;&lt;br&gt; &lt;/div&gt;&lt;div style=&quot;box-sizing:border-box;&quot;&gt; &lt;/div&gt; &lt;/div&gt; &lt;/div&gt; &lt;/div&gt;&lt;div style=&quot;box-sizing:border-box;font-weight:400;&quot;&gt;&lt;div style=&quot;box-sizing:border-box;&quot;&gt;&lt;div style=&quot;box-sizing:border-box;&quot;&gt;&lt;div style=&quot;box-sizing:border-box;&quot;&gt;&lt;span style=&quot;box-sizing:border-box;font-weight:bold;&quot;&gt;&lt;div style=&quot;box-sizing:border-box;font-weight:400;&quot;&gt;&lt;div style=&quot;box-sizing:border-box;&quot;&gt;&lt;b style=&quot;box-sizing:border-box;&quot;&gt;&lt;/b&gt; &lt;/div&gt; &lt;/div&gt;&lt;/span&gt; &lt;/div&gt; &lt;/div&gt; &lt;/div&gt; &lt;/div&gt;&lt;div style=&quot;box-sizing:border-box;font-weight:400;&quot;&gt;&lt;b style=&quot;box-sizing:border-box;&quot;&gt;&lt;/b&gt; &lt;/div&gt;&lt;div style=&quot;box-sizing:border-box;font-weight:400;&quot;&gt;&lt;div style=&quot;box-sizing:border-box;&quot;&gt;&lt;div style=&quot;box-sizing:border-box;&quot;&gt;&lt;div style=&quot;box-sizing:border-box;&quot;&gt;&lt;span style=&quot;box-sizing:border-box;font-weight:bold;&quot;&gt;&lt;div style=&quot;box-sizing:border-box;font-weight:400;&quot;&gt;&lt;div style=&quot;box-sizing:border-box;&quot;&gt;&lt;b style=&quot;box-sizing:border-box;&quot;&gt;MAS Reference Link:&lt;/b&gt; &lt;/div&gt; &lt;/div&gt;&lt;/span&gt; &lt;/div&gt; &lt;/div&gt; &lt;/div&gt; &lt;/div&gt;&lt;div style=&quot;box-sizing:border-box;font-weight:400;&quot;&gt;&lt;div style=&quot;box-sizing:border-box;&quot;&gt;&lt;div style=&quot;box-sizing:border-box;&quot;&gt;&lt;a href=&quot;https://microsoft.sharepoint.com/teams/msenable/_layouts/15/WopiFrame.aspx?sourcedoc=%7b54f28d1f-a2d1-4dcd-84e1-5c9b87e8aba4%7d&quot; style=&quot;box-sizing:border-box;text-decoration:underline;cursor:pointer;&quot;&gt;MAS 1.3.1 - Info and Relationships&lt;/a&gt; &lt;/div&gt;&lt;div style=&quot;box-sizing:border-box;&quot;&gt;&lt;br style=&quot;box-sizing:border-box;&quot;&gt; &lt;/div&gt;&lt;div style=&quot;box-sizing:border-box;&quot;&gt;&lt;b style=&quot;box-sizing:border-box;&quot;&gt;WCAG Reference Link:&lt;/b&gt; &lt;/div&gt;&lt;div style=&quot;box-sizing:border-box;&quot;&gt;&lt;a href=&quot;https://www.w3.org/WAI/WCAG21/Understanding/info-and-relationships.html&quot; style=&quot;box-sizing:border-box;text-decoration:underline;cursor:pointer;&quot;&gt;https://www.w3.org/WAI/WCAG21/Understanding/info-and-relationships.html&lt;/a&gt; &lt;/div&gt; &lt;/div&gt; &lt;/div&gt;&lt;div style=&quot;box-sizing:border-box;font-weight:400;&quot;&gt;&lt;a href=&quot;https://www.w3.org/WAI/WCAG21/Understanding/name-role-value.html&quot; style=&quot;box-sizing:border-box;text-decoration:underline;cursor:pointer;&quot;&gt;&lt;/a&gt; &lt;/div&gt;&lt;div&gt;&lt;div&gt;&lt;div style=&quot;box-sizing:border-box;&quot;&gt;&lt;a href=&quot;https://www.w3.org/WAI/WCAG21/Understanding/info-and-relationships.html&quot; style=&quot;box-sizing:border-box;text-decoration:underline;&quot;&gt;&lt;/a&gt; &lt;/div&gt; &lt;/div&gt; &lt;/div&gt;&lt;div style=&quot;box-sizing:border-box;font-weight:400;&quot;&gt;&lt;div style=&quot;box-sizing:border-box;&quot;&gt;&lt;div style=&quot;box-sizing:border-box;&quot;&gt;&lt;div style=&quot;box-sizing:border-box;&quot;&gt; &lt;/div&gt; &lt;/div&gt; &lt;/div&gt; &lt;/div&gt;"/>
    <s v="Si"/>
    <x v="0"/>
    <s v="Enrique Monsalve "/>
  </r>
  <r>
    <n v="1521759"/>
    <s v="Bug"/>
    <s v="[Usable - OLP Power Apps - Content page]: Content is not getting displayed for tiles on the page."/>
    <s v="New"/>
    <s v="William Pena &lt;v-wpena@microsoft.com&gt;"/>
    <s v="No revisado"/>
    <m/>
    <s v="Completado"/>
    <m/>
    <s v="Este bug corresponde a datos del backend, más no al front end o accessibility."/>
    <x v="2"/>
    <s v="Note: This bug is due to the regression of 1518011._x000a__x000a_Test Environment:_x000a_OS: Windows 11 [Version 21H2 (OS Build 22000.675)]_x000a_Browser: Edge Chromium (102.0.1245.30), Chrome (102.0.5005.63)_x000a_URL: Onboarding App - Content - Power Apps_x000a__x000a_Repro Steps:_x000a_Step 1: Open the above URL in Edge Chromium Browser or chrome browser._x000a_Step 2: 'Onboarding App - Content - Power Apps' page will appear-&gt;Navigate to 'Browse' control and invoke it._x000a_Step 3: Verify whether content is getting displayed for the tiles on the page or not._x000a__x000a_Actual Result:_x000a_Content is not getting displayed for tiles on the page._x000a_Observation: While we are navigating through keyboard tab key for first four tiles content is getting displayed._x000a__x000a_Expected Result:_x000a_Content should get displayed for tiles on the page."/>
    <s v="Si"/>
    <x v="0"/>
    <s v="William Pena "/>
  </r>
  <r>
    <n v="1517990"/>
    <s v="Bug"/>
    <s v="[Screen Readers- OLP Power Apps - Content page]: Screen reader does not announce any information after activating 'Back to your area' button."/>
    <s v="New"/>
    <s v="Enrique Monsalve &lt;v-monsalvee@microsoft.com&gt;"/>
    <s v="No revisado"/>
    <m/>
    <s v="Completado"/>
    <s v="A11y-1STPARTY; A11yMAS; A11yMASP3; CommonScreenReaders; HCL; HCL_OLP - MayJune FY22 New Update; MAS 1.3.1; NewBaselineAssessment; RecID_8303"/>
    <s v="Revisar si es una PowerApp dependency, ya que o se puede hacer focus a otra pantalla desde un botón localizado en un pantalla diferente."/>
    <x v="1"/>
    <s v="&lt;div style=&quot;box-sizing:border-box;&quot;&gt;&lt;b&gt;&lt;/b&gt; &lt;/div&gt;&lt;div style=&quot;box-sizing:border-box;&quot;&gt;&lt;span style=&quot;box-sizing:border-box;&quot;&gt;&lt;p style=&quot;font-weight:400;margin:0in;&quot;&gt;&lt;b&gt;PWD Impact: -&lt;/b&gt;&lt;br&gt; &lt;/p&gt;&lt;/span&gt; &lt;/div&gt;&lt;div style=&quot;box-sizing:border-box;font-weight:400;&quot;&gt;&lt;span style=&quot;box-sizing:border-box;display:inline !important;&quot;&gt;&lt;span style=&quot;box-sizing:border-box;font-family:&amp;quot;Segoe UI&amp;quot;, sans-serif;display:inline !important;&quot;&gt;&lt;span style=&quot;box-sizing:border-box;display:inline !important;&quot;&gt;&lt;span style=&quot;display:inline !important;&quot;&gt;&lt;span style=&quot;display:inline !important;&quot;&gt;&lt;span style=&quot;display:inline !important;&quot;&gt;&lt;span style=&quot;display:inline !important;&quot;&gt;&lt;span style=&quot;box-sizing:border-box;display:inline !important;&quot;&gt;&lt;/span&gt;&lt;/span&gt;&lt;/span&gt;&lt;/span&gt;&lt;/span&gt;&lt;/span&gt;&lt;/span&gt;&lt;/span&gt; &lt;/div&gt;&lt;div&gt;Users who have visual disability and depend on screen reader for navigation will be impacted as screen reader is not announcing any information after activating back to your area control. Due to this, users would not know what action has been performed.&lt;br&gt; &lt;/div&gt;&lt;div style=&quot;box-sizing:border-box;font-weight:400;&quot;&gt;&lt;br style=&quot;box-sizing:border-box;&quot;&gt; &lt;/div&gt;&lt;div style=&quot;box-sizing:border-box;font-weight:400;&quot;&gt;&lt;div style=&quot;box-sizing:border-box;&quot;&gt; &lt;/div&gt;&lt;div style=&quot;box-sizing:border-box;&quot;&gt;&lt;b style=&quot;box-sizing:border-box;font-family:&amp;quot;Segoe UI&amp;quot;, sans-serif;&quot;&gt;Test Environment:&lt;/b&gt;&lt;br style=&quot;box-sizing:border-box;&quot;&gt; &lt;/div&gt;&lt;div style=&quot;box-sizing:border-box;&quot;&gt; &lt;/div&gt; &lt;/div&gt;&lt;div style=&quot;box-sizing:border-box;font-weight:400;&quot;&gt; &lt;/div&gt;&lt;div style=&quot;box-sizing:border-box;font-weight:400;&quot;&gt; &lt;/div&gt;&lt;div style=&quot;box-sizing:border-box;font-weight:400;&quot;&gt; &lt;/div&gt;&lt;div style=&quot;box-sizing:border-box;font-weight:400;&quot;&gt; &lt;/div&gt;&lt;p style=&quot;box-sizing:border-box;font-weight:400;margin:0in;&quot;&gt; &lt;/p&gt;&lt;span style=&quot;box-sizing:border-box;font-weight:400;&quot;&gt;&lt;/span&gt;&lt;span style=&quot;box-sizing:border-box;font-weight:400;&quot;&gt;&lt;/span&gt;&lt;span style=&quot;box-sizing:border-box;font-weight:400;&quot;&gt;&lt;/span&gt;&lt;span&gt;OS: Windows 11 [Version 21H2 (OS Build 22000.856)]&lt;br&gt;&lt;/span&gt;&lt;div&gt;Browser: Edge Chromium (104.0.1293.54), Chrome (104.0.5112.81)&lt;br&gt; &lt;/div&gt;&lt;div&gt;Screen readers: NVDA (2022.2), JAWS (2022.2207.25)&lt;br&gt; &lt;/div&gt;&lt;span&gt;&lt;/span&gt;&lt;div style=&quot;box-sizing:border-box;font-weight:400;&quot;&gt; &lt;/div&gt;&lt;div style=&quot;box-sizing:border-box;font-weight:400;&quot;&gt;&lt;span style=&quot;box-sizing:border-box;&quot;&gt;URL:&amp;nbsp;&lt;a href=&quot;https://apps.preview.powerapps.com/play/e/aa1775d6-89ae-47fb-b2cd-ebeb56163da6/a/347399e1-18ec-4002-aa22-c0285a367aaf?tenantId=72f988bf-86f1-41af-91ab-2d7cd011db47&quot;&gt;Onboarding App - Content - Power Apps&lt;/a&gt;&lt;/span&gt;&lt;br style=&quot;box-sizing:border-box;&quot;&gt; &lt;/div&gt;&lt;span style=&quot;box-sizing:border-box;font-weight:400;&quot;&gt;&lt;/span&gt;&lt;div style=&quot;box-sizing:border-box;font-weight:400;&quot;&gt; &lt;/div&gt;&lt;div style=&quot;box-sizing:border-box;font-weight:400;&quot;&gt; &lt;/div&gt;&lt;div style=&quot;box-sizing:border-box;font-weight:400;&quot;&gt;&lt;br&gt; &lt;/div&gt;&lt;div style=&quot;box-sizing:border-box;font-weight:400;&quot;&gt;&lt;div style=&quot;box-sizing:border-box;&quot;&gt;&lt;b style=&quot;box-sizing:border-box;&quot;&gt;Prerequisite:&lt;/b&gt; &lt;/div&gt;&lt;div style=&quot;box-sizing:border-box;&quot;&gt; &lt;/div&gt;&lt;div style=&quot;box-sizing:border-box;&quot;&gt;Turn on NVDA/JAWS. Enable browse mode using insert+space / insert+z key. &lt;/div&gt;&lt;br&gt; &lt;/div&gt;&lt;div style=&quot;box-sizing:border-box;font-weight:400;&quot;&gt; &lt;/div&gt;&lt;div style=&quot;box-sizing:border-box;font-weight:400;&quot;&gt;&lt;p style=&quot;box-sizing:border-box;margin:0in;&quot;&gt;&lt;b style=&quot;box-sizing:border-box;&quot;&gt;Repro Steps:&lt;/b&gt;&lt;br style=&quot;box-sizing:border-box;&quot;&gt; &lt;/p&gt; &lt;/div&gt;&lt;div style=&quot;box-sizing:border-box;font-weight:400;&quot;&gt;&lt;div style=&quot;box-sizing:border-box;&quot;&gt;&lt;div style=&quot;box-sizing:border-box;&quot;&gt;&lt;div style=&quot;box-sizing:border-box;&quot;&gt;&lt;span style=&quot;box-sizing:border-box;&quot;&gt;&lt;div style=&quot;box-sizing:border-box;&quot;&gt; &lt;/div&gt;&lt;div style=&quot;box-sizing:border-box;&quot;&gt; &lt;/div&gt;&lt;div style=&quot;box-sizing:border-box;&quot;&gt; &lt;/div&gt;&lt;div style=&quot;box-sizing:border-box;&quot;&gt;Step 1:&lt;span style=&quot;box-sizing:border-box;&quot;&gt;&amp;nbsp;&lt;/span&gt;&lt;span style=&quot;box-sizing:border-box;color:rgb(36, 36, 36);font-family:-apple-system, BlinkMacSystemFont, &amp;quot;Segoe UI&amp;quot;, &amp;quot;Apple Color Emoji&amp;quot;, &amp;quot;Segoe UI Emoji&amp;quot;, &amp;quot;Segoe UI Web&amp;quot;, sans-serif;display:inline !important;&quot;&gt;Open the above URL in Edge Chromium Browser or chrome browser.&lt;/span&gt;&lt;span style=&quot;box-sizing:border-box;display:inline !important;&quot;&gt;&lt;/span&gt; &lt;/div&gt;&lt;/span&gt; &lt;/div&gt; &lt;/div&gt; &lt;/div&gt; &lt;/div&gt;&lt;div&gt;Step 2: 'Onboarding App - Content - Power Apps' page will appear.&amp;nbsp; &lt;/div&gt;&lt;div style=&quot;box-sizing:border-box;font-weight:400;&quot;&gt;&lt;div style=&quot;box-sizing:border-box;&quot;&gt;&lt;div style=&quot;box-sizing:border-box;&quot;&gt;&lt;div style=&quot;box-sizing:border-box;&quot;&gt;&lt;span style=&quot;box-sizing:border-box;&quot;&gt;&lt;div style=&quot;box-sizing:border-box;&quot;&gt;Step 3: &lt;span style=&quot;display:inline !important;&quot;&gt;Navigate to the ‘&lt;span style=&quot;box-sizing:border-box;&quot;&gt;CSA Role Basics&amp;nbsp;&lt;/span&gt;&lt;span style=&quot;box-sizing:border-box;&quot;&gt;button'.&lt;/span&gt;&lt;/span&gt; &lt;/div&gt;&lt;div style=&quot;box-sizing:border-box;&quot;&gt;&lt;span style=&quot;box-sizing:border-box;&quot;&gt;&lt;span style=&quot;box-sizing:border-box;&quot;&gt;Step 4:&lt;span style=&quot;box-sizing:border-box;&quot;&gt;&amp;nbsp;&lt;/span&gt;&lt;/span&gt;&lt;span style=&quot;display:inline !important;&quot;&gt;Verify whether&amp;nbsp;Screen reader does not announce any information after activating 'Back to your area' button.&lt;/span&gt;&lt;br style=&quot;box-sizing:border-box;&quot;&gt;&lt;/span&gt; &lt;/div&gt;&lt;div style=&quot;box-sizing:border-box;&quot;&gt;&lt;span style=&quot;box-sizing:border-box;&quot;&gt;&lt;/span&gt; &lt;/div&gt;&lt;div style=&quot;box-sizing:border-box;&quot;&gt;&lt;span style=&quot;box-sizing:border-box;&quot;&gt;&lt;/span&gt; &lt;/div&gt;&lt;div style=&quot;box-sizing:border-box;&quot;&gt;&lt;span style=&quot;box-sizing:border-box;&quot;&gt;&lt;span style=&quot;box-sizing:border-box;font-family:Calibri, sans-serif;font-size:14.6667px;display:inline !important;&quot;&gt;&lt;span style=&quot;box-sizing:border-box;font-size:14px;display:inline !important;&quot;&gt;&lt;br style=&quot;box-sizing:border-box;&quot;&gt;&lt;/span&gt;&lt;/span&gt;&lt;/span&gt; &lt;/div&gt;&lt;/span&gt; &lt;/div&gt; &lt;/div&gt; &lt;/div&gt; &lt;/div&gt;&lt;div style=&quot;box-sizing:border-box;font-weight:400;&quot;&gt;&lt;div style=&quot;box-sizing:border-box;&quot;&gt;&lt;div style=&quot;box-sizing:border-box;&quot;&gt;&lt;b style=&quot;box-sizing:border-box;&quot;&gt;&lt;/b&gt; &lt;/div&gt; &lt;/div&gt; &lt;/div&gt;&lt;div style=&quot;box-sizing:border-box;font-weight:400;&quot;&gt;&lt;div style=&quot;box-sizing:border-box;&quot;&gt;&lt;div style=&quot;box-sizing:border-box;&quot;&gt;&lt;b style=&quot;box-sizing:border-box;&quot;&gt;Actual Result:&lt;/b&gt;&lt;br style=&quot;box-sizing:border-box;&quot;&gt; &lt;/div&gt; &lt;/div&gt; &lt;/div&gt;&lt;div style=&quot;box-sizing:border-box;font-weight:400;&quot;&gt; &lt;/div&gt;&lt;div style=&quot;box-sizing:border-box;font-weight:400;&quot;&gt;&lt;b style=&quot;box-sizing:border-box;&quot;&gt;&lt;span style=&quot;box-sizing:border-box;display:inline !important;&quot;&gt;&lt;/span&gt;&lt;/b&gt; &lt;/div&gt;&lt;div style=&quot;box-sizing:border-box;font-weight:400;&quot;&gt; &lt;/div&gt;&lt;div style=&quot;box-sizing:border-box;&quot;&gt;&lt;div style=&quot;font-weight:400;box-sizing:border-box;&quot;&gt; &lt;/div&gt; &lt;/div&gt;&lt;div style=&quot;box-sizing:border-box;&quot;&gt; &lt;/div&gt;&lt;div&gt;Screen reader does not announce any information after activating the 'Back to your area' button. &lt;/div&gt;&lt;div&gt;&lt;b&gt;Observation: &lt;/b&gt;Screen reader not narrating anything it was being silent. &lt;/div&gt;&lt;div style=&quot;box-sizing:border-box;&quot;&gt;&lt;span&gt;&lt;/span&gt; &lt;/div&gt;&lt;div style=&quot;box-sizing:border-box;font-weight:400;&quot;&gt;&lt;br style=&quot;box-sizing:border-box;&quot;&gt; &lt;/div&gt;&lt;div style=&quot;box-sizing:border-box;&quot;&gt;&lt;div style=&quot;font-weight:400;box-sizing:border-box;&quot;&gt; &lt;/div&gt;&lt;div style=&quot;box-sizing:border-box;&quot;&gt;&lt;b style=&quot;box-sizing:border-box;&quot;&gt;Expected Result:&lt;br style=&quot;box-sizing:border-box;&quot;&gt;&lt;/b&gt;&lt;div style=&quot;font-weight:400;box-sizing:border-box;&quot;&gt;&lt;div style=&quot;box-sizing:border-box;&quot;&gt;&lt;span style=&quot;display:inline !important;&quot;&gt;&lt;span style=&quot;display:inline !important;&quot;&gt;&lt;span style=&quot;font-family:&amp;quot;Segoe UI&amp;quot;, system-ui, &amp;quot;Apple Color Emoji&amp;quot;, &amp;quot;Segoe UI Emoji&amp;quot;, sans-serif;display:inline !important;&quot;&gt;&lt;/span&gt;&lt;/span&gt;&lt;/span&gt; &lt;/div&gt; &lt;/div&gt;Screen reader should announce the information of performed action after activating 'Back to your area' button. &lt;/div&gt;&lt;div style=&quot;box-sizing:border-box;&quot;&gt;Ex: Screen reader should narrate information related to 'home'/'Browse' page.&lt;br&gt;&lt;span style=&quot;box-sizing:border-box;display:inline !important;&quot;&gt;&lt;/span&gt;&lt;div style=&quot;box-sizing:border-box;&quot;&gt;&lt;div style=&quot;box-sizing:border-box;&quot;&gt;&lt;br style=&quot;box-sizing:border-box;&quot;&gt; &lt;/div&gt;&lt;div style=&quot;box-sizing:border-box;&quot;&gt;&lt;div style=&quot;box-sizing:border-box;font-family:&amp;quot;Segoe UI&amp;quot;, system-ui, &amp;quot;Apple Color Emoji&amp;quot;, &amp;quot;Segoe UI Emoji&amp;quot;, sans-serif;&quot;&gt;&lt;b style=&quot;box-sizing:border-box;&quot;&gt;&lt;/b&gt; &lt;/div&gt;&lt;div style=&quot;box-sizing:border-box;font-family:&amp;quot;Segoe UI&amp;quot;, system-ui, &amp;quot;Apple Color Emoji&amp;quot;, &amp;quot;Segoe UI Emoji&amp;quot;, sans-serif;&quot;&gt;&lt;div style=&quot;box-sizing:border-box;&quot;&gt;&lt;b style=&quot;box-sizing:border-box;&quot;&gt;&lt;/b&gt; &lt;/div&gt;&lt;div style=&quot;box-sizing:border-box;&quot;&gt;&lt;div style=&quot;box-sizing:border-box;&quot;&gt;&lt;b style=&quot;box-sizing:border-box;&quot;&gt;&lt;/b&gt; &lt;/div&gt;&lt;div style=&quot;box-sizing:border-box;&quot;&gt;&lt;div style=&quot;box-sizing:border-box;font-weight:400;&quot;&gt;&lt;b style=&quot;box-sizing:border-box;&quot;&gt;&lt;/b&gt; &lt;/div&gt;&lt;div style=&quot;box-sizing:border-box;font-weight:400;&quot;&gt;&lt;div style=&quot;box-sizing:border-box;&quot;&gt;&lt;b style=&quot;box-sizing:border-box;&quot;&gt;MAS Reference Link:&lt;/b&gt;&lt;br style=&quot;box-sizing:border-box;&quot;&gt; &lt;/div&gt;&lt;div style=&quot;box-sizing:border-box;&quot;&gt;&lt;a href=&quot;https://microsoft.sharepoint.com/teams/msenable/_layouts/15/WopiFrame.aspx?sourcedoc=%7b54f28d1f-a2d1-4dcd-84e1-5c9b87e8aba4%7d&quot; style=&quot;box-sizing:border-box;text-decoration:underline;cursor:pointer;&quot;&gt;MAS 1.3.1 - Info and Relationships&lt;/a&gt; &lt;/div&gt;&lt;div style=&quot;box-sizing:border-box;&quot;&gt;&amp;nbsp; &lt;/div&gt;&lt;div style=&quot;box-sizing:border-box;&quot;&gt;&lt;b style=&quot;box-sizing:border-box;&quot;&gt;WCAG Reference Link:&lt;/b&gt; &lt;/div&gt;&lt;div style=&quot;box-sizing:border-box;&quot;&gt;&lt;a href=&quot;https://www.w3.org/WAI/WCAG21/Understanding/info-and-relationships.html&quot; style=&quot;box-sizing:border-box;text-decoration:underline;cursor:pointer;&quot;&gt;https://www.w3.org/WAI/WCAG21/Understanding/info-and-relationships.html&lt;/a&gt; &lt;/div&gt; &lt;/div&gt; &lt;/div&gt; &lt;/div&gt; &lt;/div&gt; &lt;/div&gt; &lt;/div&gt; &lt;/div&gt; &lt;/div&gt;&lt;div&gt;&lt;div&gt; &lt;/div&gt; &lt;/div&gt;&lt;div style=&quot;box-sizing:border-box;font-weight:400;&quot;&gt;&lt;div style=&quot;box-sizing:border-box;&quot;&gt;&lt;div style=&quot;box-sizing:border-box;&quot;&gt;&lt;div style=&quot;box-sizing:border-box;&quot;&gt; &lt;/div&gt; &lt;/div&gt; &lt;/div&gt; &lt;/div&gt;"/>
    <s v="Si"/>
    <x v="0"/>
    <s v="Enrique Monsalve "/>
  </r>
  <r>
    <n v="1521798"/>
    <s v="[Screen Readers - OLP Power Apps - Content page]: Ensures buttons have discernible text."/>
    <s v="[Supporting the platform - OLP Power Apps - Content page]: After resizing the page at 200% zoom, page content is not displaying properly."/>
    <m/>
    <m/>
    <s v="No revisado"/>
    <m/>
    <s v="Completado"/>
    <m/>
    <m/>
    <x v="1"/>
    <m/>
    <s v="Si"/>
    <x v="0"/>
    <s v="William Pena "/>
  </r>
  <r>
    <n v="1521835"/>
    <s v="[Keyboard Navigation - OLP Power Apps - Content page]: Drop down menu items are not displaying for 'Program' control upon receiving keyboard focus while navigating using arrow keys."/>
    <s v="[Keyboard Navigation - OLP Power Apps - Content page]: Drop down menu items are not displaying for 'Program' control upon receiving keyboard focus while navigating using arrow keys."/>
    <m/>
    <m/>
    <s v="No revisado"/>
    <m/>
    <s v="Completado"/>
    <m/>
    <m/>
    <x v="0"/>
    <m/>
    <s v="Si"/>
    <x v="0"/>
    <s v="Enrique Monsalve "/>
  </r>
  <r>
    <n v="1518003"/>
    <s v="Bug"/>
    <s v="[Screen Readers - OLP Power Apps - Content page]: Screen reader focus is moving to hidden content when we invoke 'Home' control."/>
    <s v="New"/>
    <s v="Enrique Monsalve &lt;v-monsalvee@microsoft.com&gt;"/>
    <s v="No revisado"/>
    <m/>
    <s v="En marcha"/>
    <s v="A11y-1STPARTY; A11yMAS; A11yMASP3; CommonScreenReaders; HCL; HCL_OLP - MayJune FY22 New Update; MAS 1.3.1; NewBaselineAssessment; RecID_8303"/>
    <s v="Revisar, el botón anuncia el nombre de la pantalla a donde llega."/>
    <x v="1"/>
    <s v="&lt;div style=&quot;box-sizing:border-box;&quot;&gt;&lt;b&gt;&lt;/b&gt; &lt;/div&gt;&lt;div style=&quot;box-sizing:border-box;&quot;&gt;&lt;span style=&quot;box-sizing:border-box;&quot;&gt;&lt;p style=&quot;font-weight:400;margin:0in;&quot;&gt;&lt;b&gt;PWD Impact: -&lt;/b&gt;&lt;br&gt; &lt;/p&gt;&lt;/span&gt; &lt;/div&gt;&lt;div style=&quot;box-sizing:border-box;font-weight:400;&quot;&gt;&lt;span style=&quot;box-sizing:border-box;display:inline !important;&quot;&gt;&lt;span style=&quot;box-sizing:border-box;font-family:&amp;quot;Segoe UI&amp;quot;, sans-serif;display:inline !important;&quot;&gt;&lt;span style=&quot;box-sizing:border-box;display:inline !important;&quot;&gt;&lt;span style=&quot;display:inline !important;&quot;&gt;&lt;span style=&quot;display:inline !important;&quot;&gt;&lt;span style=&quot;display:inline !important;&quot;&gt;&lt;span style=&quot;display:inline !important;&quot;&gt;&lt;span style=&quot;display:inline !important;&quot;&gt;Screen Reader users will be impacted if Screen reader focus is moving to hidden content when we invoke 'Home' control. users will get confused and lead to disorientation.&lt;/span&gt;&lt;/span&gt;&lt;/span&gt;&lt;/span&gt;&lt;/span&gt;&lt;/span&gt;&lt;/span&gt;&lt;/span&gt; &lt;/div&gt;&lt;div style=&quot;box-sizing:border-box;font-weight:400;&quot;&gt;&lt;b style=&quot;font-family:&amp;quot;Segoe UI&amp;quot;, sans-serif;&quot;&gt;&lt;br&gt;&lt;/b&gt; &lt;/div&gt;&lt;div style=&quot;box-sizing:border-box;font-weight:400;&quot;&gt;&lt;b style=&quot;font-family:&amp;quot;Segoe UI&amp;quot;, sans-serif;&quot;&gt;Test Environment:&lt;/b&gt;&lt;br&gt; &lt;/div&gt;&lt;div style=&quot;box-sizing:border-box;font-weight:400;&quot;&gt;&lt;div style=&quot;box-sizing:border-box;&quot;&gt; &lt;/div&gt; &lt;/div&gt;&lt;div style=&quot;box-sizing:border-box;font-weight:400;&quot;&gt; &lt;/div&gt;&lt;div style=&quot;box-sizing:border-box;font-weight:400;&quot;&gt; &lt;/div&gt;&lt;div style=&quot;box-sizing:border-box;font-weight:400;&quot;&gt; &lt;/div&gt;&lt;div style=&quot;box-sizing:border-box;font-weight:400;&quot;&gt; &lt;/div&gt;&lt;p style=&quot;box-sizing:border-box;font-weight:400;margin:0in;&quot;&gt; &lt;/p&gt;&lt;span style=&quot;box-sizing:border-box;font-weight:400;&quot;&gt;&lt;/span&gt;&lt;span style=&quot;box-sizing:border-box;font-weight:400;&quot;&gt;&lt;/span&gt;&lt;span style=&quot;box-sizing:border-box;font-weight:400;&quot;&gt;OS: Windows 11 [Version 21H2 (OS Build 22000.675)]&lt;br style=&quot;box-sizing:border-box;&quot;&gt;&lt;/span&gt;&lt;div style=&quot;box-sizing:border-box;font-weight:400;&quot;&gt;Browser: Edge Chromium (102.0.1245.30), Chrome (102.0.5005.63)&lt;br style=&quot;box-sizing:border-box;&quot;&gt; &lt;/div&gt;&lt;div style=&quot;box-sizing:border-box;font-weight:400;&quot;&gt;Screen readers: NVDA (2022.1), JAWS (2022.2204.20) &lt;/div&gt;&lt;div style=&quot;box-sizing:border-box;font-weight:400;&quot;&gt;&lt;span style=&quot;box-sizing:border-box;&quot;&gt;URL:&amp;nbsp;&lt;a href=&quot;https://apps.preview.powerapps.com/play/e/aa1775d6-89ae-47fb-b2cd-ebeb56163da6/a/347399e1-18ec-4002-aa22-c0285a367aaf?tenantId=72f988bf-86f1-41af-91ab-2d7cd011db47&quot;&gt;Onboarding App - Content - Power Apps&lt;/a&gt;&lt;/span&gt;&lt;br style=&quot;box-sizing:border-box;&quot;&gt; &lt;/div&gt;&lt;span style=&quot;box-sizing:border-box;font-weight:400;&quot;&gt;&lt;/span&gt;&lt;div style=&quot;box-sizing:border-box;font-weight:400;&quot;&gt; &lt;/div&gt;&lt;div style=&quot;box-sizing:border-box;font-weight:400;&quot;&gt; &lt;/div&gt;&lt;div style=&quot;box-sizing:border-box;font-weight:400;&quot;&gt;&lt;br style=&quot;box-sizing:border-box;&quot;&gt; &lt;/div&gt;&lt;div style=&quot;box-sizing:border-box;font-weight:400;&quot;&gt;&lt;span style=&quot;box-sizing:border-box;&quot;&gt;&lt;b style=&quot;box-sizing:border-box;&quot;&gt;Prerequisite:&lt;/b&gt;&lt;/span&gt; &lt;/div&gt;&lt;div style=&quot;box-sizing:border-box;font-weight:400;&quot;&gt;&lt;span style=&quot;box-sizing:border-box;&quot;&gt;Turn on NVDA/JAWS. Enable browse mode using 'insert+space'/'insert+Z' key.&lt;/span&gt;&lt;span style=&quot;box-sizing:border-box;&quot;&gt;&lt;b style=&quot;box-sizing:border-box;&quot;&gt;&lt;br style=&quot;box-sizing:border-box;&quot;&gt;&lt;/b&gt;&lt;/span&gt; &lt;/div&gt;&lt;div style=&quot;box-sizing:border-box;font-weight:400;&quot;&gt;&lt;span style=&quot;box-sizing:border-box;&quot;&gt;&lt;br style=&quot;box-sizing:border-box;&quot;&gt;&lt;/span&gt; &lt;/div&gt;&lt;div style=&quot;box-sizing:border-box;font-weight:400;&quot;&gt;&lt;p style=&quot;box-sizing:border-box;margin:0in;&quot;&gt;&lt;b style=&quot;box-sizing:border-box;&quot;&gt;Repro Steps:&lt;/b&gt;&lt;br style=&quot;box-sizing:border-box;&quot;&gt; &lt;/p&gt; &lt;/div&gt;&lt;div style=&quot;box-sizing:border-box;font-weight:400;&quot;&gt;&lt;div style=&quot;box-sizing:border-box;&quot;&gt;&lt;div style=&quot;box-sizing:border-box;&quot;&gt;&lt;div style=&quot;box-sizing:border-box;&quot;&gt;&lt;span style=&quot;box-sizing:border-box;&quot;&gt;&lt;div style=&quot;box-sizing:border-box;&quot;&gt; &lt;/div&gt;&lt;div style=&quot;box-sizing:border-box;&quot;&gt; &lt;/div&gt;&lt;div style=&quot;box-sizing:border-box;&quot;&gt; &lt;/div&gt;&lt;div style=&quot;box-sizing:border-box;&quot;&gt;Step 1:&lt;span style=&quot;box-sizing:border-box;&quot;&gt;&amp;nbsp;&lt;/span&gt;&lt;span style=&quot;box-sizing:border-box;color:rgb(36, 36, 36);font-family:-apple-system, BlinkMacSystemFont, &amp;quot;Segoe UI&amp;quot;, &amp;quot;Apple Color Emoji&amp;quot;, &amp;quot;Segoe UI Emoji&amp;quot;, &amp;quot;Segoe UI Web&amp;quot;, sans-serif;display:inline !important;&quot;&gt;Open the above URL in Edge Chromium Browser or chrome browser.&lt;/span&gt;&lt;span style=&quot;box-sizing:border-box;display:inline !important;&quot;&gt;&lt;/span&gt; &lt;/div&gt;&lt;/span&gt; &lt;/div&gt; &lt;/div&gt; &lt;/div&gt; &lt;/div&gt;&lt;div&gt;Step 2: 'Onboarding App - Content - Power Apps' page will appear-&amp;gt; &lt;/div&gt;&lt;div style=&quot;box-sizing:border-box;font-weight:400;&quot;&gt;&lt;div style=&quot;box-sizing:border-box;&quot;&gt;&lt;div style=&quot;box-sizing:border-box;&quot;&gt;&lt;div style=&quot;box-sizing:border-box;&quot;&gt;&lt;span style=&quot;box-sizing:border-box;&quot;&gt;&lt;div style=&quot;box-sizing:border-box;&quot;&gt;&lt;span&gt;Step 3:&amp;nbsp;&lt;/span&gt;&lt;span&gt;Verify whether&amp;nbsp;Screen reader focus is moving to hidden content when we invoke 'Home' control or not.&lt;/span&gt; &lt;/div&gt;&lt;div style=&quot;box-sizing:border-box;&quot;&gt;&lt;span&gt;&lt;br&gt;&lt;/span&gt; &lt;/div&gt;&lt;div style=&quot;box-sizing:border-box;&quot;&gt; &lt;/div&gt;&lt;/span&gt; &lt;/div&gt; &lt;/div&gt; &lt;/div&gt; &lt;/div&gt;&lt;div style=&quot;box-sizing:border-box;font-weight:400;&quot;&gt;&lt;div style=&quot;box-sizing:border-box;&quot;&gt;&lt;div style=&quot;box-sizing:border-box;&quot;&gt;&lt;b style=&quot;box-sizing:border-box;&quot;&gt;&lt;/b&gt; &lt;/div&gt; &lt;/div&gt; &lt;/div&gt;&lt;div style=&quot;box-sizing:border-box;font-weight:400;&quot;&gt;&lt;div style=&quot;box-sizing:border-box;&quot;&gt;&lt;div style=&quot;box-sizing:border-box;&quot;&gt;&lt;b style=&quot;box-sizing:border-box;&quot;&gt;Actual Result:&lt;/b&gt;&lt;br style=&quot;box-sizing:border-box;&quot;&gt; &lt;/div&gt; &lt;/div&gt; &lt;/div&gt;&lt;div style=&quot;box-sizing:border-box;font-weight:400;&quot;&gt; &lt;/div&gt;&lt;div style=&quot;box-sizing:border-box;font-weight:400;&quot;&gt;&lt;b style=&quot;box-sizing:border-box;&quot;&gt;&lt;span style=&quot;box-sizing:border-box;display:inline !important;&quot;&gt;&lt;/span&gt;&lt;/b&gt; &lt;/div&gt;&lt;div style=&quot;box-sizing:border-box;font-weight:400;&quot;&gt; &lt;/div&gt;&lt;div style=&quot;box-sizing:border-box;&quot;&gt;&lt;div style=&quot;font-weight:400;box-sizing:border-box;&quot;&gt; &lt;/div&gt; &lt;/div&gt;&lt;div style=&quot;box-sizing:border-box;&quot;&gt;Screen reader focus is moving to hidden content when we invoke 'Home' control.&lt;br&gt; &lt;/div&gt;&lt;div style=&quot;box-sizing:border-box;&quot;&gt;&lt;b style=&quot;box-sizing:border-box;&quot;&gt;Observation:&lt;/b&gt;&lt;span&gt;&amp;nbsp;Screen reader narrating as&amp;nbsp;&lt;span&gt;SCRN_ContentUpdated_Final.&lt;br&gt;&lt;/span&gt;&lt;div&gt;&lt;br&gt; &lt;/div&gt;&lt;span&gt;&lt;/span&gt;&lt;/span&gt; &lt;/div&gt;&lt;div style=&quot;box-sizing:border-box;&quot;&gt;&lt;span&gt;&lt;div&gt;&lt;b style=&quot;&quot;&gt;Expected Result:&lt;/b&gt;&lt;br&gt; &lt;/div&gt;&lt;/span&gt; &lt;/div&gt;&lt;div style=&quot;box-sizing:border-box;&quot;&gt;&lt;div style=&quot;box-sizing:border-box;&quot;&gt;&lt;div style=&quot;font-weight:400;box-sizing:border-box;&quot;&gt;&lt;div style=&quot;box-sizing:border-box;&quot;&gt;Screen reader focus should not move to hidden content when we invoke 'Home' control.&lt;br&gt; &lt;/div&gt; &lt;/div&gt;&lt;div style=&quot;box-sizing:border-box;&quot;&gt;&lt;div style=&quot;box-sizing:border-box;&quot;&gt;&lt;b&gt;Ex: &lt;/b&gt;Screen reader focus should move to 'Collapse all' control. &lt;/div&gt;&lt;div style=&quot;box-sizing:border-box;&quot;&gt;&lt;br&gt; &lt;/div&gt;&lt;div style=&quot;box-sizing:border-box;&quot;&gt; &lt;/div&gt; &lt;/div&gt; &lt;/div&gt; &lt;/div&gt;&lt;div style=&quot;box-sizing:border-box;font-weight:400;&quot;&gt;&lt;div style=&quot;box-sizing:border-box;&quot;&gt;&lt;div style=&quot;box-sizing:border-box;&quot;&gt;&lt;div style=&quot;box-sizing:border-box;&quot;&gt;&lt;span style=&quot;box-sizing:border-box;font-weight:bold;&quot;&gt;&lt;div style=&quot;box-sizing:border-box;font-weight:400;&quot;&gt;&lt;div style=&quot;box-sizing:border-box;&quot;&gt;&lt;b style=&quot;box-sizing:border-box;&quot;&gt;&lt;/b&gt; &lt;/div&gt; &lt;/div&gt;&lt;/span&gt; &lt;/div&gt; &lt;/div&gt; &lt;/div&gt; &lt;/div&gt;&lt;div style=&quot;box-sizing:border-box;font-weight:400;&quot;&gt;&lt;b style=&quot;box-sizing:border-box;&quot;&gt;&lt;/b&gt; &lt;/div&gt;&lt;div style=&quot;box-sizing:border-box;font-weight:400;&quot;&gt;&lt;div style=&quot;box-sizing:border-box;&quot;&gt;&lt;div style=&quot;box-sizing:border-box;&quot;&gt;&lt;div style=&quot;box-sizing:border-box;&quot;&gt;&lt;span style=&quot;box-sizing:border-box;font-weight:bold;&quot;&gt;&lt;div style=&quot;box-sizing:border-box;font-weight:400;&quot;&gt;&lt;div style=&quot;box-sizing:border-box;&quot;&gt;&lt;b style=&quot;box-sizing:border-box;&quot;&gt;&lt;/b&gt; &lt;/div&gt; &lt;/div&gt;&lt;/span&gt; &lt;/div&gt; &lt;/div&gt; &lt;/div&gt; &lt;/div&gt;&lt;div style=&quot;box-sizing:border-box;font-weight:400;&quot;&gt;&lt;div style=&quot;box-sizing:border-box;&quot;&gt;&lt;b style=&quot;box-sizing:border-box;&quot;&gt;&lt;/b&gt; &lt;/div&gt; &lt;/div&gt;&lt;div style=&quot;box-sizing:border-box;font-family:&amp;quot;Segoe UI&amp;quot;, system-ui, &amp;quot;Apple Color Emoji&amp;quot;, &amp;quot;Segoe UI Emoji&amp;quot;, sans-serif;font-weight:400;&quot;&gt;&lt;b style=&quot;box-sizing:border-box;&quot;&gt;MAS Reference Link:&lt;/b&gt;&lt;br style=&quot;box-sizing:border-box;&quot;&gt; &lt;/div&gt;&lt;div style=&quot;box-sizing:border-box;font-family:&amp;quot;Segoe UI&amp;quot;, system-ui, &amp;quot;Apple Color Emoji&amp;quot;, &amp;quot;Segoe UI Emoji&amp;quot;, sans-serif;font-weight:400;&quot;&gt;&lt;a href=&quot;https://microsoft.sharepoint.com/teams/msenable/_layouts/15/WopiFrame.aspx?sourcedoc=%7b54f28d1f-a2d1-4dcd-84e1-5c9b87e8aba4%7d&quot; style=&quot;box-sizing:border-box;text-decoration:underline;cursor:pointer;&quot;&gt;MAS 1.3.1 - Info and Relationships&lt;/a&gt; &lt;/div&gt;&lt;div style=&quot;box-sizing:border-box;font-family:&amp;quot;Segoe UI&amp;quot;, system-ui, &amp;quot;Apple Color Emoji&amp;quot;, &amp;quot;Segoe UI Emoji&amp;quot;, sans-serif;font-weight:400;&quot;&gt;&amp;nbsp; &lt;/div&gt;&lt;div style=&quot;box-sizing:border-box;font-family:&amp;quot;Segoe UI&amp;quot;, system-ui, &amp;quot;Apple Color Emoji&amp;quot;, &amp;quot;Segoe UI Emoji&amp;quot;, sans-serif;font-weight:400;&quot;&gt;&lt;b style=&quot;box-sizing:border-box;&quot;&gt;WCAG Reference Link:&lt;/b&gt; &lt;/div&gt;&lt;div style=&quot;box-sizing:border-box;font-family:&amp;quot;Segoe UI&amp;quot;, system-ui, &amp;quot;Apple Color Emoji&amp;quot;, &amp;quot;Segoe UI Emoji&amp;quot;, sans-serif;font-weight:400;&quot;&gt;&lt;a href=&quot;https://www.w3.org/WAI/WCAG21/Understanding/info-and-relationships.html&quot; style=&quot;box-sizing:border-box;text-decoration:underline;cursor:pointer;&quot;&gt;https://www.w3.org/WAI/WCAG21/Understanding/info-and-relationships.html&lt;/a&gt; &lt;/div&gt;&lt;div style=&quot;box-sizing:border-box;font-weight:400;&quot;&gt;&lt;a href=&quot;https://nam06.safelinks.protection.outlook.com/?url=https://www.w3.org/WAI/WCAG21/Understanding/name-role-value.html&amp;amp;data=04%7c01%7cv-vshivanii%40microsoft.com%7c94edc582aca645e49e5008d8c9ce70dc%7c72f988bf86f141af91ab2d7cd011db47%7c0%7c0%7c637481235788101819%7cUnknown%7cTWFpbGZsb3d8eyJWIjoiMC4wLjAwMDAiLCJQIjoiV2luMzIiLCJBTiI6Ik1haWwiLCJXVCI6Mn0%3D%7c1000&amp;amp;sdata=2zqGQGN70dzqnJ5k4IljdohWbT/9RGZnB3nk2fwx1o0%3D&amp;amp;reserved=0&quot; style=&quot;box-sizing:border-box;text-decoration:underline;cursor:pointer;&quot;&gt;&lt;/a&gt; &lt;/div&gt;&lt;div style=&quot;box-sizing:border-box;font-weight:400;&quot;&gt;&lt;div style=&quot;box-sizing:border-box;&quot;&gt;&lt;div style=&quot;box-sizing:border-box;&quot;&gt;&lt;a href=&quot;https://www.w3.org/WAI/WCAG21/Understanding/info-and-relationships.html&quot; style=&quot;box-sizing:border-box;text-decoration:underline;cursor:pointer;&quot;&gt;&lt;/a&gt; &lt;/div&gt; &lt;/div&gt; &lt;/div&gt;&lt;div style=&quot;box-sizing:border-box;font-weight:400;&quot;&gt;&lt;a href=&quot;https://www.w3.org/WAI/WCAG21/Understanding/name-role-value.html&quot; style=&quot;box-sizing:border-box;text-decoration:underline;cursor:pointer;&quot;&gt;&lt;/a&gt; &lt;/div&gt;&lt;div&gt;&lt;div&gt;&lt;div style=&quot;box-sizing:border-box;&quot;&gt;&lt;a href=&quot;https://www.w3.org/WAI/WCAG21/Understanding/info-and-relationships.html&quot; style=&quot;box-sizing:border-box;text-decoration:underline;&quot;&gt;&lt;/a&gt; &lt;/div&gt; &lt;/div&gt; &lt;/div&gt;&lt;div style=&quot;box-sizing:border-box;font-weight:400;&quot;&gt;&lt;div style=&quot;box-sizing:border-box;&quot;&gt;&lt;div style=&quot;box-sizing:border-box;&quot;&gt;&lt;div style=&quot;box-sizing:border-box;&quot;&gt; &lt;/div&gt; &lt;/div&gt; &lt;/div&gt; &lt;/div&gt;"/>
    <s v="No"/>
    <x v="2"/>
    <s v="Enrique Monsalve "/>
  </r>
  <r>
    <n v="1521753"/>
    <s v="Bug"/>
    <s v="[Screen Readers - OLP Power Apps - Content page]: Screen reader focus is moving twice to 'bookmark' control in browse mode."/>
    <s v="New"/>
    <s v="William Pena &lt;v-wpena@microsoft.com&gt;"/>
    <s v="No revisado"/>
    <m/>
    <s v="Completado"/>
    <m/>
    <m/>
    <x v="1"/>
    <s v="PWD Impact: -_x000a_User who rely on Screen readers are impacted, if screen reader focus is moving to twice 'bookmark' control while navigating using down arrow key. This will impact user's desired task and will lead to disorientation._x000a__x000a__x000a_Test Environment:_x000a_OS: Windows 11 [Version 21H2 (OS Build 22000.675)]_x000a_Browser: Edge Chromium (102.0.1245.30), Chrome (102.0.5005.63)_x000a_Screen readers: NVDA (2022.1), JAWS (2022.2204.20)_x000a_URL: Onboarding App - Content - Power Apps_x000a__x000a_Prerequisite:_x000a_Turn on NVDA/JAWS. Enable browse mode using 'insert+space'/'insert+Z' key._x000a__x000a_Repro Steps:_x000a_Step 1: Open the above URL in Edge Chromium Browser or chrome browser._x000a_Step 2: 'Onboarding App - Content - Power Apps' page will appear-&gt;Navigate to 'CSA role basics technical foundations' and invoke it.&gt;Invoke any one of the tile_x000a_Step 3: Verify whether Screen reader focus is moving twice to 'bookmark' control in browse mode or not._x000a__x000a_Actual Result:_x000a_Screen reader focus is moving twice to 'bookmark' control in browse mode._x000a_Observation: screen reader narrating as button Select to bookmark content_x000a_button Bookmark._x000a_Note: Same issue is observed for 'Mark as complete control'_x000a_Screen reader narrating as button select to content,mark as complete._x000a__x000a_Expected Result:_x000a_Screen reader focus should not move twice to 'bookmark' control in browse mode._x000a_Ex: Screen reader should announce as bookmark button and focus should move only once."/>
    <s v="Si"/>
    <x v="0"/>
    <s v="William Pena "/>
  </r>
  <r>
    <n v="1521836"/>
    <s v="[Supporting the platform - OLP Power Apps - Content page]: At 400% zoom mode, horizontal scrollbar appears on the page."/>
    <s v="[Supporting the platform - OLP Power Apps - Content page]: At 400% zoom mode, horizontal scrollbar appears on the page."/>
    <m/>
    <m/>
    <s v="No revisado"/>
    <m/>
    <s v="Completado"/>
    <m/>
    <s v="Mismo problema de las scrollbars del navegador en 400% zoom."/>
    <x v="1"/>
    <m/>
    <s v="No"/>
    <x v="2"/>
    <s v="Enrique Monsalve "/>
  </r>
  <r>
    <n v="1521837"/>
    <s v="[Visual Requirements - OLP Power Apps - Content page]: After applying text spacing, few content present on the page is getting truncated."/>
    <s v="[Visual Requirements - OLP Power Apps - Content page]: After applying text spacing, few content present on the page is getting truncated."/>
    <m/>
    <m/>
    <s v="No revisado"/>
    <m/>
    <s v="Completado"/>
    <m/>
    <s v="Esperando guia del Team de Accessibility con la Text Spacing Tool._x000a__x000a_https://powerusers.microsoft.com/t5/Building-Power-Apps/NVDA-in-powerapps/m-p/621857#M196702_x000a__x000a_Después de una reunión con el dos ingenieros de Accessibility, Dipankar y Sudheer. Nos comentaron que si utilizamos la fuente Segoe UI, no deberiamos de tener problema con el tema de text spacing."/>
    <x v="1"/>
    <m/>
    <s v="Si"/>
    <x v="0"/>
    <s v="Enrique Monsalve "/>
  </r>
  <r>
    <n v="1521838"/>
    <s v="[Supporting the platform - OLP Power Apps - Content page]: At 400% Zoom mode, two vertical scroll bars appear on the page."/>
    <s v="[Supporting the platform - OLP Power Apps - Content page]: At 400% Zoom mode, two vertical scroll bars appear on the page."/>
    <m/>
    <m/>
    <s v="No revisado"/>
    <m/>
    <s v="Completado"/>
    <m/>
    <s v="Mismo problema de las scrollbars del navegador en 400% zoom."/>
    <x v="1"/>
    <m/>
    <s v="No"/>
    <x v="3"/>
    <s v="Enrique Monsalve "/>
  </r>
  <r>
    <n v="1521840"/>
    <s v="[Supporting the platform - OLP Power Apps - Content page]: At 400% zoom mode, User is unable to select the drop-down menu item options for combo box while navigating using keyboard."/>
    <s v="[Supporting the platform - OLP Power Apps - Content page]: At 400% zoom mode, User is unable to select the drop-down menu item options for combo box while navigating using keyboard."/>
    <m/>
    <m/>
    <s v="No revisado"/>
    <m/>
    <s v="En marcha"/>
    <m/>
    <s v="Revisar, porque la idea era no hacer la pantalla responsive."/>
    <x v="1"/>
    <m/>
    <s v="No"/>
    <x v="3"/>
    <s v="Enrique Monsalve "/>
  </r>
  <r>
    <n v="1521842"/>
    <s v="[Supporting the platform - OLP Power Apps - Content page]: In high contrast (Aquatic /Desert) mode, Borders are not provided for the form fields present in the page."/>
    <s v="[Supporting the platform - OLP Power Apps - Content page]: In high contrast (Aquatic /Desert) mode, Borders are not provided for the form fields present in the page."/>
    <m/>
    <m/>
    <s v="No revisado"/>
    <m/>
    <s v="Completado"/>
    <m/>
    <m/>
    <x v="0"/>
    <m/>
    <s v="Si"/>
    <x v="0"/>
    <s v="Enrique Monsalve "/>
  </r>
  <r>
    <n v="1521843"/>
    <s v="[Supporting the platform - OLP Power Apps - Content page]: In high contrast (Aquatic /Desert) mode, Keyboard focus indicator is not displaying properly on 'Reset filters'."/>
    <s v="[Supporting the platform - OLP Power Apps - Content page]: In high contrast (Aquatic /Desert) mode, Keyboard focus indicator is not displaying properly on 'Reset filters'."/>
    <m/>
    <m/>
    <s v="No revisado"/>
    <m/>
    <s v="Completado"/>
    <m/>
    <m/>
    <x v="0"/>
    <m/>
    <s v="Si"/>
    <x v="0"/>
    <s v="Enrique Monsalve "/>
  </r>
  <r>
    <n v="1521841"/>
    <s v="[Supporting the platform - OLP Power Apps - Content page] In high contrast (Aquatic /Desert) mode additional chevron icon is observed in the header region."/>
    <s v="[Supporting the platform - OLP Power Apps - Content page] In high contrast (Aquatic /Desert) mode additional chevron icon is observed in the header region."/>
    <m/>
    <m/>
    <s v="No revisado"/>
    <m/>
    <s v="Completado"/>
    <m/>
    <m/>
    <x v="1"/>
    <m/>
    <s v="Si"/>
    <x v="0"/>
    <s v="Enrique Monsalve "/>
  </r>
  <r>
    <n v="1521844"/>
    <s v="[Screen Readers - OLP Power Apps - Content page]: Screen reader (NVDA/JAWS) focus is moving twice to 'Back to main page' control while navigating in browse mode."/>
    <s v="[Screen Readers - OLP Power Apps - Content page]: Screen reader (NVDA/JAWS) focus is moving twice to 'Back to main page' control while navigating in browse mode."/>
    <m/>
    <m/>
    <s v="No revisado"/>
    <m/>
    <s v="Completado"/>
    <m/>
    <s v="Revisar, si solo se debe mover al icono mas no al label."/>
    <x v="1"/>
    <m/>
    <s v="Si"/>
    <x v="0"/>
    <s v="Enrique Monsalve "/>
  </r>
  <r>
    <n v="1521868"/>
    <s v="[Keyboard Navigation- OLP Power Apps]: Keyboard focus moving to non-interactive text i.e., Area while navigating using keyboard tab key."/>
    <s v="[Keyboard Navigation- OLP Power Apps]: Keyboard focus moving to non-interactive text i.e., Area while navigating using keyboard tab key."/>
    <m/>
    <m/>
    <s v="No revisado"/>
    <m/>
    <s v="Completado"/>
    <m/>
    <m/>
    <x v="0"/>
    <m/>
    <s v="Si"/>
    <x v="0"/>
    <s v="Enrique Monsalve "/>
  </r>
  <r>
    <n v="1521871"/>
    <s v="[Keyboard Navigation - OLP Power Apps - Content page]: Keyboard tab focus loss is observed after invoking 'Skip to main content'."/>
    <s v="[Keyboard Navigation - OLP Power Apps - Content page]: Keyboard tab focus loss is observed after invoking 'Skip to main content'."/>
    <m/>
    <m/>
    <s v="No revisado"/>
    <m/>
    <s v="Completado"/>
    <m/>
    <s v="Ya se hace focus en algun icono de la pantalla. Al momento de pasar a cualquier pantalla este lee el icono."/>
    <x v="1"/>
    <m/>
    <s v="No"/>
    <x v="2"/>
    <s v="Enrique Monsalve "/>
  </r>
  <r>
    <n v="1521879"/>
    <s v="[Keyboard Navigation - OLP Power Apps - Content page]: Keyboard focus is not on sequential order in the page, while navigating using keyboard tab key."/>
    <s v="[Keyboard Navigation - OLP Power Apps - Content page]: Keyboard focus is not on sequential order in the page, while navigating using keyboard tab key."/>
    <m/>
    <m/>
    <s v="No revisado"/>
    <m/>
    <s v="Completado"/>
    <m/>
    <s v="Revisar Propuesta con Federico"/>
    <x v="1"/>
    <m/>
    <s v="Si"/>
    <x v="0"/>
    <s v="Enrique Monsalve "/>
  </r>
  <r>
    <n v="1521880"/>
    <s v="[Screen Readers - OLP Power Apps - Content page]: Table is not defined for the content which is visually appearing as table present on the page."/>
    <s v="[Screen Readers - OLP Power Apps - Content page]: Table is not defined for the content which is visually appearing as table present on the page."/>
    <m/>
    <m/>
    <s v="No revisado"/>
    <s v="William"/>
    <s v="Completado"/>
    <m/>
    <s v="En este bug utilizan la tecla &quot;T&quot; como shorcut para ir directo a la tabla, pero en nuestro caso usamos una Gallery. ¿No aplicaría este error?_x000a__x000a_Limitación de Powerapps_x000a_https://powerusers.microsoft.com/t5/Building-Power-Apps/NVDA-in-powerapps/m-p/621857#M196702"/>
    <x v="1"/>
    <m/>
    <s v="No"/>
    <x v="2"/>
    <s v="Enrique Monsalve "/>
  </r>
  <r>
    <n v="1521890"/>
    <s v="[Screen Readers - OLP Power Apps - Content page]: Screen reader not narrating unavailable information for buttons (PP-1001) present in the page."/>
    <s v="[Screen Readers - OLP Power Apps - Content page]: Screen reader not narrating unavailable information for buttons (PP-1001) present in the page."/>
    <m/>
    <m/>
    <s v="No revisado"/>
    <m/>
    <s v="Completado"/>
    <m/>
    <m/>
    <x v="0"/>
    <m/>
    <s v="Si"/>
    <x v="0"/>
    <s v="Enrique Monsalve "/>
  </r>
  <r>
    <n v="1521898"/>
    <s v="[Screen Readers - OLP Power Apps]:'Form landmark' is not defined on the page."/>
    <s v="[Screen Readers - OLP Power Apps]:'Form landmark' is not defined on the page."/>
    <m/>
    <m/>
    <s v="No revisado"/>
    <s v="William"/>
    <s v="Completado"/>
    <m/>
    <s v="Comentar en ADO con link de PA limitations._x000a__x000a_https://docs.microsoft.com/en-us/power-apps/maker/canvas-apps/accessible-apps-limitations"/>
    <x v="1"/>
    <m/>
    <s v="Si"/>
    <x v="0"/>
    <s v="Enrique Monsalve "/>
  </r>
  <r>
    <n v="1521900"/>
    <s v="[Screen Readers - OLP Power Apps]: Screen reader narrating extra verbose information for all the drop-down fields while navigating using short cut key 'f'."/>
    <s v="[Screen Readers - OLP Power Apps]: Screen reader narrating extra verbose information for all the drop-down fields while navigating using short cut key 'f'."/>
    <m/>
    <m/>
    <s v="No revisado"/>
    <m/>
    <s v="Completado"/>
    <m/>
    <s v="Discutir con Federico la solución."/>
    <x v="1"/>
    <m/>
    <s v="Si"/>
    <x v="0"/>
    <s v="Enrique Monsalve "/>
  </r>
  <r>
    <n v="1521930"/>
    <s v="[Supporting the platform- OLP Power Apps]: In High contrast Aquatic Desert modes, Differentiation for selected/unselected row is not able to differentiate"/>
    <s v="[Supporting the platform- OLP Power Apps]: In High contrast Aquatic Desert modes, Differentiation for selected/unselected row is not able to differentiate"/>
    <m/>
    <m/>
    <s v="No revisado"/>
    <m/>
    <s v="Completado"/>
    <m/>
    <m/>
    <x v="0"/>
    <m/>
    <s v="No"/>
    <x v="2"/>
    <s v="Enrique Monsalve "/>
  </r>
  <r>
    <n v="1522081"/>
    <s v="[Visual Requirements - OLP Power Apps - Content page]: Luminosity contrast ratio fails edit or combo box fields border with its background."/>
    <s v="[Visual Requirements - OLP Power Apps - Content page]: Luminosity contrast ratio fails edit or combo box fields border with its background."/>
    <m/>
    <m/>
    <s v="No revisado"/>
    <m/>
    <s v="Completado"/>
    <m/>
    <m/>
    <x v="1"/>
    <m/>
    <s v="Si"/>
    <x v="0"/>
    <s v="Enrique Monsalve "/>
  </r>
  <r>
    <n v="1522082"/>
    <s v="[Supporting the platform - OLP Power Apps - Content page]: In High contrast Aquatic and Desert modes, Keyboard focus indicator is not visible on 'view other learning path' button while navigating using tab"/>
    <s v="[Supporting the platform - OLP Power Apps - Content page]: In High contrast Aquatic and Desert modes, Keyboard focus indicator is not visible on 'view other learning path' button while navigating using tab"/>
    <m/>
    <m/>
    <s v="No revisado"/>
    <m/>
    <s v="Completado"/>
    <m/>
    <m/>
    <x v="0"/>
    <m/>
    <s v="Si"/>
    <x v="0"/>
    <s v="Enrique Monsalve "/>
  </r>
  <r>
    <n v="1522083"/>
    <s v="[Screen Readers - OLP Power Apps]: Screen reader (NVDA) does not announce any information after activating 'Go' button."/>
    <s v="[Screen Readers - OLP Power Apps]: Screen reader (NVDA) does not announce any information after activating 'Go' button."/>
    <m/>
    <m/>
    <s v="No revisado"/>
    <s v="William"/>
    <s v="En marcha"/>
    <m/>
    <s v="Revisar este bug, ya que se probó con NVDA y si esta narrando información."/>
    <x v="1"/>
    <m/>
    <s v="No"/>
    <x v="2"/>
    <s v="Enrique Monsalve "/>
  </r>
  <r>
    <n v="1522085"/>
    <s v="[Keyboard Navigation - OLP Power Apps - Content page]: Keyboard focus loss is observed after invoking 'view other learning path' button while navigating using tab key"/>
    <s v="[Keyboard Navigation - OLP Power Apps - Content page]: Keyboard focus loss is observed after invoking 'view other learning path' button while navigating using tab key"/>
    <m/>
    <m/>
    <s v="No revisado"/>
    <s v="William"/>
    <s v="Completado"/>
    <s v="Revisar si es una PowerApp dependency, ya que o se puede hacer focus a otra pantalla desde un botón localizado en un pantalla diferente."/>
    <s v="Discutir solución con Federico, Focus se hizo sobre otro elemento."/>
    <x v="1"/>
    <m/>
    <s v="No"/>
    <x v="2"/>
    <s v="Enrique Monsalve "/>
  </r>
  <r>
    <n v="1522094"/>
    <s v="[Keyboard Navigation - OLP Power Apps - Content page]: Keyboard focus indicator is not properly visible after invoking 'Go' button while navigating using tab key"/>
    <s v="[Keyboard Navigation - OLP Power Apps - Content page]: Keyboard focus indicator is not properly visible after invoking 'Go' button while navigating using tab key"/>
    <m/>
    <m/>
    <s v="No revisado"/>
    <s v="William"/>
    <s v="Completado"/>
    <m/>
    <s v="Discutir solución con Federico, Focus se hizo sobre otro elemento."/>
    <x v="1"/>
    <m/>
    <s v="No"/>
    <x v="2"/>
    <s v="Enrique Monsalve "/>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720EDD1-544C-42BA-A385-8813B8A86ACE}"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10" firstHeaderRow="1" firstDataRow="2" firstDataCol="1"/>
  <pivotFields count="15">
    <pivotField showAll="0"/>
    <pivotField showAll="0"/>
    <pivotField dataField="1" showAll="0"/>
    <pivotField showAll="0"/>
    <pivotField showAll="0"/>
    <pivotField showAll="0"/>
    <pivotField showAll="0"/>
    <pivotField showAll="0"/>
    <pivotField showAll="0"/>
    <pivotField showAll="0"/>
    <pivotField axis="axisCol" showAll="0">
      <items count="4">
        <item x="0"/>
        <item x="1"/>
        <item x="2"/>
        <item t="default"/>
      </items>
    </pivotField>
    <pivotField showAll="0"/>
    <pivotField showAll="0"/>
    <pivotField axis="axisRow" showAll="0">
      <items count="7">
        <item x="0"/>
        <item x="1"/>
        <item x="3"/>
        <item x="2"/>
        <item x="4"/>
        <item m="1" x="5"/>
        <item t="default"/>
      </items>
    </pivotField>
    <pivotField showAll="0"/>
  </pivotFields>
  <rowFields count="1">
    <field x="13"/>
  </rowFields>
  <rowItems count="6">
    <i>
      <x/>
    </i>
    <i>
      <x v="1"/>
    </i>
    <i>
      <x v="2"/>
    </i>
    <i>
      <x v="3"/>
    </i>
    <i>
      <x v="4"/>
    </i>
    <i t="grand">
      <x/>
    </i>
  </rowItems>
  <colFields count="1">
    <field x="10"/>
  </colFields>
  <colItems count="4">
    <i>
      <x/>
    </i>
    <i>
      <x v="1"/>
    </i>
    <i>
      <x v="2"/>
    </i>
    <i t="grand">
      <x/>
    </i>
  </colItems>
  <dataFields count="1">
    <dataField name="Count of Title" fld="2" subtotal="count" baseField="0" baseItem="0"/>
  </dataFields>
  <formats count="3">
    <format dxfId="26">
      <pivotArea outline="0" collapsedLevelsAreSubtotals="1" fieldPosition="0"/>
    </format>
    <format dxfId="25">
      <pivotArea dataOnly="0" labelOnly="1" fieldPosition="0">
        <references count="1">
          <reference field="10" count="0"/>
        </references>
      </pivotArea>
    </format>
    <format dxfId="24">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H13" dT="2022-08-23T22:54:31.51" personId="{961F7BB5-E96A-4478-BAFF-21CF61F6D612}" id="{E0C36820-A96B-4E84-87A2-ADA50D39D259}">
    <text>@William Pena (NEXTANT LLC) este debería quedar en ADO como "Active"?</text>
    <mentions>
      <mention mentionpersonId="{54FA35B9-0CDE-44E5-BFD2-DE98C93FE3DE}" mentionId="{8877FC9B-6608-4EBC-9456-63F94D1C0F3D}" startIndex="0" length="27"/>
    </mentions>
  </threadedComment>
  <threadedComment ref="H13" dT="2022-08-24T15:47:16.70" personId="{76B6A67F-4853-42E9-91C2-9E3D318289B6}" id="{7A27A04D-75A0-46F8-AB54-D78BE6ADFEF5}" parentId="{E0C36820-A96B-4E84-87A2-ADA50D39D259}">
    <text xml:space="preserve">@Enrique Monsalve (NEXTANT LLC) en ADO está como Active pero para nosotros acá está en Hold porque nos pasaron una herramienta que no nos funciona. Estamos esperando a que nos pasen la herramienta que ellos usaron. </text>
    <mentions>
      <mention mentionpersonId="{6BDA8E13-C587-4F23-8E97-94618C064147}" mentionId="{E837120C-FEA2-4AFB-8EB1-49296306CA03}" startIndex="0" length="31"/>
    </mentions>
  </threadedComment>
  <threadedComment ref="H22" dT="2022-08-23T22:51:49.07" personId="{961F7BB5-E96A-4478-BAFF-21CF61F6D612}" id="{531B37CD-2747-4979-AD90-271F37343A14}">
    <text>@William Pena (NEXTANT LLC), este quedó como "Resolved" en ADO pero aquí esta diferente. Debería estar Completado?</text>
    <mentions>
      <mention mentionpersonId="{54FA35B9-0CDE-44E5-BFD2-DE98C93FE3DE}" mentionId="{CBECCC67-0E9B-430B-8A1B-691263493651}" startIndex="0" length="27"/>
    </mentions>
  </threadedComment>
</ThreadedComments>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s://worldwidelearning.visualstudio.com/WWL%20Accessibility/_workitems/edit/1531362" TargetMode="External"/><Relationship Id="rId7" Type="http://schemas.openxmlformats.org/officeDocument/2006/relationships/printerSettings" Target="../printerSettings/printerSettings1.bin"/><Relationship Id="rId2" Type="http://schemas.openxmlformats.org/officeDocument/2006/relationships/hyperlink" Target="https://worldwidelearning.visualstudio.com/WWL%20Accessibility/_workitems/edit/1531367" TargetMode="External"/><Relationship Id="rId1" Type="http://schemas.openxmlformats.org/officeDocument/2006/relationships/hyperlink" Target="https://worldwidelearning.visualstudio.com/WWL%20Accessibility/_workitems/edit/1531395" TargetMode="External"/><Relationship Id="rId6" Type="http://schemas.openxmlformats.org/officeDocument/2006/relationships/hyperlink" Target="https://worldwidelearning.visualstudio.com/WWL%20Accessibility/_workitems/edit/1531300" TargetMode="External"/><Relationship Id="rId11" Type="http://schemas.microsoft.com/office/2017/10/relationships/threadedComment" Target="../threadedComments/threadedComment1.xml"/><Relationship Id="rId5" Type="http://schemas.openxmlformats.org/officeDocument/2006/relationships/hyperlink" Target="https://worldwidelearning.visualstudio.com/WWL%20Accessibility/_workitems/edit/1531353" TargetMode="External"/><Relationship Id="rId10" Type="http://schemas.openxmlformats.org/officeDocument/2006/relationships/comments" Target="../comments1.xml"/><Relationship Id="rId4" Type="http://schemas.openxmlformats.org/officeDocument/2006/relationships/hyperlink" Target="https://worldwidelearning.visualstudio.com/WWL%20Accessibility/_workitems/edit/1531357" TargetMode="External"/><Relationship Id="rId9"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8" Type="http://schemas.openxmlformats.org/officeDocument/2006/relationships/hyperlink" Target="https://worldwidelearning.visualstudio.com/WWL%20Accessibility/_workitems/edit/1592707" TargetMode="External"/><Relationship Id="rId13" Type="http://schemas.openxmlformats.org/officeDocument/2006/relationships/hyperlink" Target="https://worldwidelearning.visualstudio.com/WWL%20Accessibility/_workitems/edit/1592699" TargetMode="External"/><Relationship Id="rId3" Type="http://schemas.openxmlformats.org/officeDocument/2006/relationships/hyperlink" Target="https://worldwidelearning.visualstudio.com/WWL%20Accessibility/_workitems/edit/1592714" TargetMode="External"/><Relationship Id="rId7" Type="http://schemas.openxmlformats.org/officeDocument/2006/relationships/hyperlink" Target="https://worldwidelearning.visualstudio.com/WWL%20Accessibility/_workitems/edit/1592706" TargetMode="External"/><Relationship Id="rId12" Type="http://schemas.openxmlformats.org/officeDocument/2006/relationships/hyperlink" Target="https://worldwidelearning.visualstudio.com/WWL%20Accessibility/_workitems/edit/1592748" TargetMode="External"/><Relationship Id="rId2" Type="http://schemas.openxmlformats.org/officeDocument/2006/relationships/hyperlink" Target="https://worldwidelearning.visualstudio.com/WWL%20Accessibility/_workitems/edit/1592695" TargetMode="External"/><Relationship Id="rId1" Type="http://schemas.openxmlformats.org/officeDocument/2006/relationships/hyperlink" Target="https://worldwidelearning.visualstudio.com/WWL%20Accessibility/_workitems/edit/1592691" TargetMode="External"/><Relationship Id="rId6" Type="http://schemas.openxmlformats.org/officeDocument/2006/relationships/hyperlink" Target="https://worldwidelearning.visualstudio.com/WWL%20Accessibility/_workitems/edit/1592703" TargetMode="External"/><Relationship Id="rId11" Type="http://schemas.openxmlformats.org/officeDocument/2006/relationships/hyperlink" Target="https://worldwidelearning.visualstudio.com/WWL%20Accessibility/_workitems/edit/1592737" TargetMode="External"/><Relationship Id="rId5" Type="http://schemas.openxmlformats.org/officeDocument/2006/relationships/hyperlink" Target="https://worldwidelearning.visualstudio.com/WWL%20Accessibility/_workitems/edit/1592719" TargetMode="External"/><Relationship Id="rId15" Type="http://schemas.openxmlformats.org/officeDocument/2006/relationships/drawing" Target="../drawings/drawing2.xml"/><Relationship Id="rId10" Type="http://schemas.openxmlformats.org/officeDocument/2006/relationships/hyperlink" Target="https://worldwidelearning.visualstudio.com/WWL%20Accessibility/_workitems/edit/1592736" TargetMode="External"/><Relationship Id="rId4" Type="http://schemas.openxmlformats.org/officeDocument/2006/relationships/hyperlink" Target="https://worldwidelearning.visualstudio.com/WWL%20Accessibility/_workitems/edit/1592717" TargetMode="External"/><Relationship Id="rId9" Type="http://schemas.openxmlformats.org/officeDocument/2006/relationships/hyperlink" Target="https://worldwidelearning.visualstudio.com/WWL%20Accessibility/_workitems/edit/1592722" TargetMode="External"/><Relationship Id="rId1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E5176-B230-4F18-87FA-88CB68D2BC72}">
  <dimension ref="A1:BN113"/>
  <sheetViews>
    <sheetView topLeftCell="A14" zoomScale="80" zoomScaleNormal="80" workbookViewId="0">
      <selection activeCell="E19" sqref="E19"/>
    </sheetView>
  </sheetViews>
  <sheetFormatPr defaultColWidth="8.77734375" defaultRowHeight="14.4" x14ac:dyDescent="0.3"/>
  <cols>
    <col min="1" max="1" width="12" style="5" customWidth="1"/>
    <col min="2" max="2" width="18.21875" hidden="1" customWidth="1"/>
    <col min="3" max="3" width="219.77734375" bestFit="1" customWidth="1"/>
    <col min="4" max="4" width="23.5546875" hidden="1" customWidth="1"/>
    <col min="5" max="5" width="8.21875" hidden="1" customWidth="1"/>
    <col min="6" max="6" width="23.77734375" bestFit="1" customWidth="1"/>
    <col min="7" max="7" width="13.77734375" bestFit="1" customWidth="1"/>
    <col min="8" max="8" width="22.77734375" bestFit="1" customWidth="1"/>
    <col min="9" max="9" width="160.21875" hidden="1" customWidth="1"/>
    <col min="10" max="10" width="59.21875" style="11" bestFit="1" customWidth="1"/>
    <col min="11" max="11" width="15.44140625" bestFit="1" customWidth="1"/>
    <col min="12" max="12" width="13.77734375" bestFit="1" customWidth="1"/>
    <col min="13" max="13" width="17.21875" customWidth="1"/>
    <col min="14" max="14" width="16.44140625" bestFit="1" customWidth="1"/>
  </cols>
  <sheetData>
    <row r="1" spans="1:66" s="21" customFormat="1" ht="33" customHeight="1" x14ac:dyDescent="0.3">
      <c r="A1" s="14" t="s">
        <v>8</v>
      </c>
      <c r="B1" s="2" t="s">
        <v>9</v>
      </c>
      <c r="C1" s="2" t="s">
        <v>10</v>
      </c>
      <c r="D1" s="2" t="s">
        <v>11</v>
      </c>
      <c r="E1" s="2" t="s">
        <v>12</v>
      </c>
      <c r="F1" s="2" t="s">
        <v>13</v>
      </c>
      <c r="G1" s="2" t="s">
        <v>0</v>
      </c>
      <c r="H1" s="2" t="s">
        <v>1</v>
      </c>
      <c r="I1" s="2" t="s">
        <v>14</v>
      </c>
      <c r="J1" s="2" t="s">
        <v>2</v>
      </c>
      <c r="K1" s="2" t="s">
        <v>15</v>
      </c>
      <c r="L1" s="15" t="s">
        <v>16</v>
      </c>
      <c r="M1" s="15" t="s">
        <v>17</v>
      </c>
      <c r="N1" s="15" t="s">
        <v>18</v>
      </c>
    </row>
    <row r="2" spans="1:66" x14ac:dyDescent="0.3">
      <c r="A2" s="4">
        <v>1516891</v>
      </c>
      <c r="B2" s="4" t="s">
        <v>19</v>
      </c>
      <c r="C2" s="29" t="s">
        <v>20</v>
      </c>
      <c r="D2" s="4" t="s">
        <v>21</v>
      </c>
      <c r="E2" s="4" t="s">
        <v>236</v>
      </c>
      <c r="F2" s="4" t="s">
        <v>6</v>
      </c>
      <c r="G2" s="4" t="s">
        <v>5</v>
      </c>
      <c r="H2" s="9" t="s">
        <v>4</v>
      </c>
      <c r="I2" s="4"/>
      <c r="J2" s="10" t="s">
        <v>22</v>
      </c>
      <c r="K2" s="4" t="s">
        <v>23</v>
      </c>
      <c r="L2" s="4" t="e">
        <f t="shared" ref="L2:L33" si="0">IF(AND(H2="Completado",M2="Closed"),"Si","No")</f>
        <v>#REF!</v>
      </c>
      <c r="M2" s="4" t="e">
        <f>VLOOKUP($A2,#REF!,4,FALSE)</f>
        <v>#REF!</v>
      </c>
      <c r="N2" s="4" t="e">
        <f>LEFT(VLOOKUP($A2,#REF!,5,FALSE),FIND(" &lt;",VLOOKUP($A2,#REF!,5,FALSE)))</f>
        <v>#REF!</v>
      </c>
      <c r="P2" s="16"/>
      <c r="Q2" s="16"/>
      <c r="R2" s="16"/>
      <c r="S2" s="16"/>
      <c r="T2" s="16"/>
      <c r="U2" s="16"/>
      <c r="V2" s="16"/>
      <c r="W2" s="16"/>
      <c r="X2" s="16"/>
      <c r="Y2" s="16"/>
      <c r="Z2" s="16"/>
      <c r="AA2" s="16"/>
      <c r="AB2" s="16"/>
      <c r="AC2" s="16"/>
      <c r="AD2" s="16"/>
      <c r="AE2" s="16"/>
      <c r="AF2" s="16"/>
      <c r="AG2" s="16"/>
      <c r="AH2" s="16"/>
      <c r="AI2" s="16"/>
      <c r="AJ2" s="16"/>
      <c r="AK2" s="16"/>
      <c r="AL2" s="16"/>
      <c r="AM2" s="16"/>
      <c r="AN2" s="16"/>
      <c r="AO2" s="16"/>
      <c r="AP2" s="16"/>
      <c r="AQ2" s="16"/>
      <c r="AR2" s="16"/>
      <c r="AS2" s="16"/>
      <c r="AT2" s="16"/>
      <c r="AU2" s="16"/>
      <c r="AV2" s="16"/>
      <c r="AW2" s="16"/>
      <c r="AX2" s="16"/>
      <c r="AY2" s="16"/>
      <c r="AZ2" s="16"/>
      <c r="BA2" s="16"/>
      <c r="BB2" s="16"/>
      <c r="BC2" s="16"/>
      <c r="BD2" s="16"/>
      <c r="BE2" s="16"/>
      <c r="BF2" s="16"/>
      <c r="BG2" s="16"/>
      <c r="BH2" s="16"/>
      <c r="BI2" s="16"/>
      <c r="BJ2" s="16"/>
      <c r="BK2" s="16"/>
      <c r="BL2" s="16"/>
      <c r="BM2" s="16"/>
      <c r="BN2" s="16"/>
    </row>
    <row r="3" spans="1:66" ht="43.2" x14ac:dyDescent="0.3">
      <c r="A3" s="4">
        <v>1516910</v>
      </c>
      <c r="B3" s="4" t="s">
        <v>19</v>
      </c>
      <c r="C3" s="29" t="s">
        <v>24</v>
      </c>
      <c r="D3" s="4" t="s">
        <v>21</v>
      </c>
      <c r="E3" s="4" t="s">
        <v>236</v>
      </c>
      <c r="F3" s="4" t="s">
        <v>6</v>
      </c>
      <c r="G3" s="4" t="s">
        <v>3</v>
      </c>
      <c r="H3" s="9" t="s">
        <v>4</v>
      </c>
      <c r="I3" s="4" t="s">
        <v>25</v>
      </c>
      <c r="J3" s="10" t="s">
        <v>26</v>
      </c>
      <c r="K3" s="4" t="s">
        <v>27</v>
      </c>
      <c r="L3" s="4" t="e">
        <f t="shared" si="0"/>
        <v>#REF!</v>
      </c>
      <c r="M3" s="4" t="e">
        <f>VLOOKUP($A3,#REF!,4,FALSE)</f>
        <v>#REF!</v>
      </c>
      <c r="N3" s="4" t="e">
        <f>LEFT(VLOOKUP($A3,#REF!,5,FALSE),FIND(" &lt;",VLOOKUP($A3,#REF!,5,FALSE)))</f>
        <v>#REF!</v>
      </c>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t="s">
        <v>6</v>
      </c>
      <c r="AW3" s="16"/>
      <c r="AX3" s="16"/>
      <c r="AY3" s="16"/>
      <c r="AZ3" s="16"/>
      <c r="BA3" s="16"/>
      <c r="BB3" s="16"/>
      <c r="BC3" s="16"/>
      <c r="BD3" s="16"/>
      <c r="BE3" s="16"/>
      <c r="BF3" s="16"/>
      <c r="BG3" s="16"/>
      <c r="BH3" s="16"/>
      <c r="BI3" s="16"/>
      <c r="BJ3" s="16"/>
      <c r="BK3" s="16"/>
      <c r="BL3" s="16"/>
      <c r="BM3" s="16"/>
      <c r="BN3" s="16"/>
    </row>
    <row r="4" spans="1:66" ht="43.2" x14ac:dyDescent="0.3">
      <c r="A4" s="4">
        <v>1516917</v>
      </c>
      <c r="B4" s="4" t="s">
        <v>19</v>
      </c>
      <c r="C4" s="29" t="s">
        <v>28</v>
      </c>
      <c r="D4" s="4" t="s">
        <v>21</v>
      </c>
      <c r="E4" s="4" t="s">
        <v>236</v>
      </c>
      <c r="F4" s="4" t="s">
        <v>6</v>
      </c>
      <c r="G4" s="4" t="s">
        <v>3</v>
      </c>
      <c r="H4" s="9" t="s">
        <v>4</v>
      </c>
      <c r="I4" s="4" t="s">
        <v>29</v>
      </c>
      <c r="J4" s="3" t="s">
        <v>30</v>
      </c>
      <c r="K4" s="4" t="s">
        <v>27</v>
      </c>
      <c r="L4" s="4" t="e">
        <f t="shared" si="0"/>
        <v>#REF!</v>
      </c>
      <c r="M4" s="4" t="e">
        <f>VLOOKUP($A4,#REF!,4,FALSE)</f>
        <v>#REF!</v>
      </c>
      <c r="N4" s="4" t="e">
        <f>LEFT(VLOOKUP($A4,#REF!,5,FALSE),FIND(" &lt;",VLOOKUP($A4,#REF!,5,FALSE)))</f>
        <v>#REF!</v>
      </c>
      <c r="AV4" s="16" t="s">
        <v>31</v>
      </c>
    </row>
    <row r="5" spans="1:66" x14ac:dyDescent="0.3">
      <c r="A5" s="4">
        <v>1517380</v>
      </c>
      <c r="B5" s="4" t="s">
        <v>19</v>
      </c>
      <c r="C5" s="29" t="s">
        <v>32</v>
      </c>
      <c r="D5" s="4" t="s">
        <v>21</v>
      </c>
      <c r="E5" s="4" t="s">
        <v>236</v>
      </c>
      <c r="F5" s="4" t="s">
        <v>6</v>
      </c>
      <c r="G5" s="4" t="s">
        <v>3</v>
      </c>
      <c r="H5" s="9" t="s">
        <v>4</v>
      </c>
      <c r="I5" s="4" t="s">
        <v>33</v>
      </c>
      <c r="J5" s="3"/>
      <c r="K5" s="4" t="s">
        <v>27</v>
      </c>
      <c r="L5" s="4" t="e">
        <f t="shared" si="0"/>
        <v>#REF!</v>
      </c>
      <c r="M5" s="4" t="e">
        <f>VLOOKUP($A5,#REF!,4,FALSE)</f>
        <v>#REF!</v>
      </c>
      <c r="N5" s="4" t="e">
        <f>LEFT(VLOOKUP($A5,#REF!,5,FALSE),FIND(" &lt;",VLOOKUP($A5,#REF!,5,FALSE)))</f>
        <v>#REF!</v>
      </c>
      <c r="AV5" s="16" t="s">
        <v>34</v>
      </c>
    </row>
    <row r="6" spans="1:66" ht="54.6" customHeight="1" x14ac:dyDescent="0.3">
      <c r="A6" s="4">
        <v>1517386</v>
      </c>
      <c r="B6" s="4" t="s">
        <v>19</v>
      </c>
      <c r="C6" s="29" t="s">
        <v>32</v>
      </c>
      <c r="D6" s="4" t="s">
        <v>21</v>
      </c>
      <c r="E6" s="4" t="s">
        <v>236</v>
      </c>
      <c r="F6" s="4" t="s">
        <v>6</v>
      </c>
      <c r="G6" s="4" t="s">
        <v>5</v>
      </c>
      <c r="H6" s="9" t="s">
        <v>4</v>
      </c>
      <c r="I6" s="4" t="s">
        <v>35</v>
      </c>
      <c r="J6" s="3" t="s">
        <v>36</v>
      </c>
      <c r="K6" s="4" t="s">
        <v>27</v>
      </c>
      <c r="L6" s="4" t="e">
        <f t="shared" si="0"/>
        <v>#REF!</v>
      </c>
      <c r="M6" s="4" t="e">
        <f>VLOOKUP($A6,#REF!,4,FALSE)</f>
        <v>#REF!</v>
      </c>
      <c r="N6" s="4" t="e">
        <f>LEFT(VLOOKUP($A6,#REF!,5,FALSE),FIND(" &lt;",VLOOKUP($A6,#REF!,5,FALSE)))</f>
        <v>#REF!</v>
      </c>
      <c r="AV6" s="16" t="s">
        <v>37</v>
      </c>
    </row>
    <row r="7" spans="1:66" x14ac:dyDescent="0.3">
      <c r="A7" s="4">
        <v>1517602</v>
      </c>
      <c r="B7" s="4" t="s">
        <v>19</v>
      </c>
      <c r="C7" s="29" t="s">
        <v>38</v>
      </c>
      <c r="D7" s="4" t="s">
        <v>21</v>
      </c>
      <c r="E7" s="4" t="s">
        <v>236</v>
      </c>
      <c r="F7" s="4" t="s">
        <v>6</v>
      </c>
      <c r="G7" s="4" t="s">
        <v>3</v>
      </c>
      <c r="H7" s="9" t="s">
        <v>4</v>
      </c>
      <c r="I7" s="4" t="s">
        <v>39</v>
      </c>
      <c r="J7" s="3"/>
      <c r="K7" s="4" t="s">
        <v>40</v>
      </c>
      <c r="L7" s="4" t="e">
        <f t="shared" si="0"/>
        <v>#REF!</v>
      </c>
      <c r="M7" s="4" t="e">
        <f>VLOOKUP($A7,#REF!,4,FALSE)</f>
        <v>#REF!</v>
      </c>
      <c r="N7" s="4" t="e">
        <f>LEFT(VLOOKUP($A7,#REF!,5,FALSE),FIND(" &lt;",VLOOKUP($A7,#REF!,5,FALSE)))</f>
        <v>#REF!</v>
      </c>
      <c r="P7" s="16"/>
      <c r="Q7" s="16"/>
      <c r="R7" s="16"/>
      <c r="S7" s="16"/>
      <c r="T7" s="16"/>
      <c r="U7" s="16"/>
      <c r="V7" s="16"/>
      <c r="W7" s="16"/>
      <c r="X7" s="16"/>
      <c r="Y7" s="16"/>
      <c r="Z7" s="16"/>
      <c r="AA7" s="16"/>
      <c r="AB7" s="16"/>
      <c r="AC7" s="16"/>
      <c r="AD7" s="16"/>
      <c r="AE7" s="16"/>
      <c r="AF7" s="16"/>
      <c r="AG7" s="16"/>
      <c r="AH7" s="16"/>
      <c r="AI7" s="16"/>
      <c r="AJ7" s="16"/>
      <c r="AK7" s="16"/>
      <c r="AL7" s="16"/>
      <c r="AM7" s="16"/>
      <c r="AN7" s="16"/>
      <c r="AO7" s="16"/>
      <c r="AP7" s="16"/>
      <c r="AQ7" s="16"/>
      <c r="AR7" s="16"/>
      <c r="AS7" s="16"/>
      <c r="AT7" s="16"/>
      <c r="AU7" s="16"/>
      <c r="AV7" s="16"/>
      <c r="AW7" s="16"/>
      <c r="AX7" s="16"/>
      <c r="AY7" s="16"/>
      <c r="AZ7" s="16"/>
      <c r="BA7" s="16"/>
      <c r="BB7" s="16"/>
      <c r="BC7" s="16"/>
      <c r="BD7" s="16"/>
      <c r="BE7" s="16"/>
      <c r="BF7" s="16"/>
      <c r="BG7" s="16"/>
      <c r="BH7" s="16"/>
      <c r="BI7" s="16"/>
      <c r="BJ7" s="16"/>
      <c r="BK7" s="16"/>
      <c r="BL7" s="16"/>
      <c r="BM7" s="16"/>
      <c r="BN7" s="16"/>
    </row>
    <row r="8" spans="1:66" ht="43.2" x14ac:dyDescent="0.3">
      <c r="A8" s="4">
        <v>1517603</v>
      </c>
      <c r="B8" s="4" t="s">
        <v>19</v>
      </c>
      <c r="C8" s="29" t="s">
        <v>41</v>
      </c>
      <c r="D8" s="4" t="s">
        <v>21</v>
      </c>
      <c r="E8" s="4" t="s">
        <v>236</v>
      </c>
      <c r="F8" s="4" t="s">
        <v>6</v>
      </c>
      <c r="G8" s="4" t="s">
        <v>3</v>
      </c>
      <c r="H8" s="9" t="s">
        <v>4</v>
      </c>
      <c r="I8" s="4" t="s">
        <v>42</v>
      </c>
      <c r="J8" s="3" t="s">
        <v>43</v>
      </c>
      <c r="K8" s="4" t="s">
        <v>23</v>
      </c>
      <c r="L8" s="4" t="e">
        <f t="shared" si="0"/>
        <v>#REF!</v>
      </c>
      <c r="M8" s="4" t="e">
        <f>VLOOKUP($A8,#REF!,4,FALSE)</f>
        <v>#REF!</v>
      </c>
      <c r="N8" s="4" t="e">
        <f>LEFT(VLOOKUP($A8,#REF!,5,FALSE),FIND(" &lt;",VLOOKUP($A8,#REF!,5,FALSE)))</f>
        <v>#REF!</v>
      </c>
    </row>
    <row r="9" spans="1:66" x14ac:dyDescent="0.3">
      <c r="A9" s="4">
        <v>1517604</v>
      </c>
      <c r="B9" s="4" t="s">
        <v>19</v>
      </c>
      <c r="C9" s="29" t="s">
        <v>44</v>
      </c>
      <c r="D9" s="4" t="s">
        <v>21</v>
      </c>
      <c r="E9" s="4" t="s">
        <v>237</v>
      </c>
      <c r="F9" s="4" t="s">
        <v>37</v>
      </c>
      <c r="G9" s="4" t="s">
        <v>5</v>
      </c>
      <c r="H9" s="9" t="s">
        <v>4</v>
      </c>
      <c r="I9" s="4" t="s">
        <v>35</v>
      </c>
      <c r="J9" s="3" t="s">
        <v>45</v>
      </c>
      <c r="K9" s="4" t="s">
        <v>23</v>
      </c>
      <c r="L9" s="4" t="e">
        <f t="shared" si="0"/>
        <v>#REF!</v>
      </c>
      <c r="M9" s="4" t="e">
        <f>VLOOKUP($A9,#REF!,4,FALSE)</f>
        <v>#REF!</v>
      </c>
      <c r="N9" s="4" t="e">
        <f>LEFT(VLOOKUP($A9,#REF!,5,FALSE),FIND(" &lt;",VLOOKUP($A9,#REF!,5,FALSE)))</f>
        <v>#REF!</v>
      </c>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row>
    <row r="10" spans="1:66" ht="28.8" x14ac:dyDescent="0.3">
      <c r="A10" s="4">
        <v>1517605</v>
      </c>
      <c r="B10" s="4" t="s">
        <v>19</v>
      </c>
      <c r="C10" s="29" t="s">
        <v>46</v>
      </c>
      <c r="D10" s="4" t="s">
        <v>21</v>
      </c>
      <c r="E10" s="4" t="s">
        <v>236</v>
      </c>
      <c r="F10" s="4" t="s">
        <v>37</v>
      </c>
      <c r="G10" s="4" t="s">
        <v>5</v>
      </c>
      <c r="H10" s="9" t="s">
        <v>4</v>
      </c>
      <c r="I10" s="4" t="s">
        <v>35</v>
      </c>
      <c r="J10" s="3" t="s">
        <v>47</v>
      </c>
      <c r="K10" s="4" t="s">
        <v>40</v>
      </c>
      <c r="L10" s="4" t="e">
        <f t="shared" si="0"/>
        <v>#REF!</v>
      </c>
      <c r="M10" s="4" t="e">
        <f>VLOOKUP($A10,#REF!,4,FALSE)</f>
        <v>#REF!</v>
      </c>
      <c r="N10" s="4" t="e">
        <f>LEFT(VLOOKUP($A10,#REF!,5,FALSE),FIND(" &lt;",VLOOKUP($A10,#REF!,5,FALSE)))</f>
        <v>#REF!</v>
      </c>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row>
    <row r="11" spans="1:66" x14ac:dyDescent="0.3">
      <c r="A11" s="4">
        <v>1517616</v>
      </c>
      <c r="B11" s="4" t="s">
        <v>19</v>
      </c>
      <c r="C11" s="29" t="s">
        <v>48</v>
      </c>
      <c r="D11" s="4" t="s">
        <v>21</v>
      </c>
      <c r="E11" s="4" t="s">
        <v>236</v>
      </c>
      <c r="F11" s="4" t="s">
        <v>37</v>
      </c>
      <c r="G11" s="4"/>
      <c r="H11" s="9" t="s">
        <v>4</v>
      </c>
      <c r="I11" s="4" t="s">
        <v>49</v>
      </c>
      <c r="J11" s="3" t="s">
        <v>50</v>
      </c>
      <c r="K11" s="4" t="s">
        <v>27</v>
      </c>
      <c r="L11" s="4" t="e">
        <f t="shared" si="0"/>
        <v>#REF!</v>
      </c>
      <c r="M11" s="4" t="e">
        <f>VLOOKUP($A11,#REF!,4,FALSE)</f>
        <v>#REF!</v>
      </c>
      <c r="N11" s="4" t="e">
        <f>LEFT(VLOOKUP($A11,#REF!,5,FALSE),FIND(" &lt;",VLOOKUP($A11,#REF!,5,FALSE)))</f>
        <v>#REF!</v>
      </c>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row>
    <row r="12" spans="1:66" x14ac:dyDescent="0.3">
      <c r="A12" s="4">
        <v>1517619</v>
      </c>
      <c r="B12" s="4" t="s">
        <v>19</v>
      </c>
      <c r="C12" s="29" t="s">
        <v>51</v>
      </c>
      <c r="D12" s="4" t="s">
        <v>21</v>
      </c>
      <c r="E12" s="4" t="s">
        <v>236</v>
      </c>
      <c r="F12" s="4" t="s">
        <v>6</v>
      </c>
      <c r="G12" s="4"/>
      <c r="H12" s="9" t="s">
        <v>4</v>
      </c>
      <c r="I12" s="4" t="s">
        <v>52</v>
      </c>
      <c r="J12" s="3"/>
      <c r="K12" s="4" t="s">
        <v>27</v>
      </c>
      <c r="L12" s="4" t="e">
        <f t="shared" si="0"/>
        <v>#REF!</v>
      </c>
      <c r="M12" s="4" t="e">
        <f>VLOOKUP($A12,#REF!,4,FALSE)</f>
        <v>#REF!</v>
      </c>
      <c r="N12" s="4" t="e">
        <f>LEFT(VLOOKUP($A12,#REF!,5,FALSE),FIND(" &lt;",VLOOKUP($A12,#REF!,5,FALSE)))</f>
        <v>#REF!</v>
      </c>
      <c r="P12" s="16"/>
      <c r="Q12" s="16"/>
      <c r="R12" s="16"/>
      <c r="S12" s="16"/>
      <c r="T12" s="16"/>
      <c r="U12" s="16"/>
      <c r="V12" s="16"/>
      <c r="W12" s="16"/>
      <c r="X12" s="16"/>
      <c r="Y12" s="16"/>
      <c r="Z12" s="16"/>
      <c r="AA12" s="16"/>
      <c r="AB12" s="16"/>
      <c r="AC12" s="16"/>
      <c r="AD12" s="16"/>
      <c r="AE12" s="16"/>
      <c r="AF12" s="16"/>
      <c r="AG12" s="16"/>
      <c r="AH12" s="16"/>
      <c r="AI12" s="16"/>
      <c r="AJ12" s="16"/>
      <c r="AK12" s="16"/>
      <c r="AL12" s="16"/>
      <c r="AM12" s="16"/>
      <c r="AN12" s="16"/>
      <c r="AO12" s="16"/>
      <c r="AP12" s="16"/>
      <c r="AQ12" s="16"/>
      <c r="AR12" s="16"/>
      <c r="AS12" s="16"/>
      <c r="AT12" s="16"/>
      <c r="AU12" s="16"/>
      <c r="AV12" s="16"/>
      <c r="AW12" s="16"/>
      <c r="AX12" s="16"/>
      <c r="AY12" s="16"/>
      <c r="AZ12" s="16"/>
      <c r="BA12" s="16"/>
      <c r="BB12" s="16"/>
      <c r="BC12" s="16"/>
      <c r="BD12" s="16"/>
      <c r="BE12" s="16"/>
      <c r="BF12" s="16"/>
      <c r="BG12" s="16"/>
      <c r="BH12" s="16"/>
      <c r="BI12" s="16"/>
      <c r="BJ12" s="16"/>
      <c r="BK12" s="16"/>
      <c r="BL12" s="16"/>
      <c r="BM12" s="16"/>
      <c r="BN12" s="16"/>
    </row>
    <row r="13" spans="1:66" ht="86.4" x14ac:dyDescent="0.3">
      <c r="A13" s="4">
        <v>1517628</v>
      </c>
      <c r="B13" s="4" t="s">
        <v>19</v>
      </c>
      <c r="C13" s="29" t="s">
        <v>53</v>
      </c>
      <c r="D13" s="4" t="s">
        <v>21</v>
      </c>
      <c r="E13" s="4" t="s">
        <v>236</v>
      </c>
      <c r="F13" s="4" t="s">
        <v>6</v>
      </c>
      <c r="G13" s="4"/>
      <c r="H13" s="9" t="s">
        <v>4</v>
      </c>
      <c r="I13" s="4" t="s">
        <v>54</v>
      </c>
      <c r="J13" s="3" t="s">
        <v>55</v>
      </c>
      <c r="K13" s="4" t="s">
        <v>27</v>
      </c>
      <c r="L13" s="4" t="e">
        <f t="shared" si="0"/>
        <v>#REF!</v>
      </c>
      <c r="M13" s="4" t="e">
        <f>VLOOKUP($A13,#REF!,4,FALSE)</f>
        <v>#REF!</v>
      </c>
      <c r="N13" s="4" t="e">
        <f>LEFT(VLOOKUP($A13,#REF!,5,FALSE),FIND(" &lt;",VLOOKUP($A13,#REF!,5,FALSE)))</f>
        <v>#REF!</v>
      </c>
    </row>
    <row r="14" spans="1:66" ht="28.8" x14ac:dyDescent="0.3">
      <c r="A14" s="4">
        <v>1517633</v>
      </c>
      <c r="B14" s="4" t="s">
        <v>19</v>
      </c>
      <c r="C14" s="29" t="s">
        <v>234</v>
      </c>
      <c r="D14" s="4" t="s">
        <v>21</v>
      </c>
      <c r="E14" s="4" t="s">
        <v>236</v>
      </c>
      <c r="F14" s="4" t="s">
        <v>37</v>
      </c>
      <c r="G14" s="4" t="s">
        <v>5</v>
      </c>
      <c r="H14" s="9" t="s">
        <v>4</v>
      </c>
      <c r="I14" s="4" t="s">
        <v>39</v>
      </c>
      <c r="J14" s="3" t="s">
        <v>56</v>
      </c>
      <c r="K14" s="4" t="s">
        <v>40</v>
      </c>
      <c r="L14" s="4" t="e">
        <f t="shared" si="0"/>
        <v>#REF!</v>
      </c>
      <c r="M14" s="4" t="e">
        <f>VLOOKUP($A14,#REF!,4,FALSE)</f>
        <v>#REF!</v>
      </c>
      <c r="N14" s="4" t="e">
        <f>LEFT(VLOOKUP($A14,#REF!,5,FALSE),FIND(" &lt;",VLOOKUP($A14,#REF!,5,FALSE)))</f>
        <v>#REF!</v>
      </c>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6"/>
      <c r="BJ14" s="16"/>
      <c r="BK14" s="16"/>
      <c r="BL14" s="16"/>
      <c r="BM14" s="16"/>
      <c r="BN14" s="16"/>
    </row>
    <row r="15" spans="1:66" ht="154.94999999999999" customHeight="1" x14ac:dyDescent="0.3">
      <c r="A15" s="4">
        <v>1517638</v>
      </c>
      <c r="B15" s="4" t="s">
        <v>19</v>
      </c>
      <c r="C15" s="29" t="s">
        <v>235</v>
      </c>
      <c r="D15" s="4" t="s">
        <v>57</v>
      </c>
      <c r="E15" s="4" t="s">
        <v>236</v>
      </c>
      <c r="F15" s="4" t="s">
        <v>37</v>
      </c>
      <c r="G15" s="4"/>
      <c r="H15" s="9" t="s">
        <v>4</v>
      </c>
      <c r="I15" s="4" t="s">
        <v>49</v>
      </c>
      <c r="J15" s="3" t="s">
        <v>58</v>
      </c>
      <c r="K15" s="4" t="s">
        <v>27</v>
      </c>
      <c r="L15" s="4" t="e">
        <f t="shared" si="0"/>
        <v>#REF!</v>
      </c>
      <c r="M15" s="4" t="e">
        <f>VLOOKUP($A15,#REF!,4,FALSE)</f>
        <v>#REF!</v>
      </c>
      <c r="N15" s="4" t="e">
        <f>LEFT(VLOOKUP($A15,#REF!,5,FALSE),FIND(" &lt;",VLOOKUP($A15,#REF!,5,FALSE)))</f>
        <v>#REF!</v>
      </c>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L15" s="16"/>
      <c r="BM15" s="16"/>
      <c r="BN15" s="16"/>
    </row>
    <row r="16" spans="1:66" ht="56.25" customHeight="1" x14ac:dyDescent="0.3">
      <c r="A16" s="4">
        <v>1517691</v>
      </c>
      <c r="B16" s="4" t="s">
        <v>19</v>
      </c>
      <c r="C16" s="29" t="s">
        <v>59</v>
      </c>
      <c r="D16" s="4" t="s">
        <v>21</v>
      </c>
      <c r="E16" s="4" t="s">
        <v>236</v>
      </c>
      <c r="F16" s="4" t="s">
        <v>6</v>
      </c>
      <c r="G16" s="4"/>
      <c r="H16" s="9" t="s">
        <v>4</v>
      </c>
      <c r="I16" s="4" t="s">
        <v>60</v>
      </c>
      <c r="J16" s="12" t="s">
        <v>61</v>
      </c>
      <c r="K16" s="4" t="s">
        <v>27</v>
      </c>
      <c r="L16" s="4" t="e">
        <f t="shared" si="0"/>
        <v>#REF!</v>
      </c>
      <c r="M16" s="4" t="e">
        <f>VLOOKUP($A16,#REF!,4,FALSE)</f>
        <v>#REF!</v>
      </c>
      <c r="N16" s="4" t="e">
        <f>LEFT(VLOOKUP($A16,#REF!,5,FALSE),FIND(" &lt;",VLOOKUP($A16,#REF!,5,FALSE)))</f>
        <v>#REF!</v>
      </c>
    </row>
    <row r="17" spans="1:66" ht="27.6" customHeight="1" x14ac:dyDescent="0.3">
      <c r="A17" s="4">
        <v>1517727</v>
      </c>
      <c r="B17" s="4" t="s">
        <v>19</v>
      </c>
      <c r="C17" s="29" t="s">
        <v>62</v>
      </c>
      <c r="D17" s="4" t="s">
        <v>21</v>
      </c>
      <c r="E17" s="4" t="s">
        <v>236</v>
      </c>
      <c r="F17" s="4" t="s">
        <v>6</v>
      </c>
      <c r="G17" s="4"/>
      <c r="H17" s="9" t="s">
        <v>4</v>
      </c>
      <c r="I17" s="4" t="s">
        <v>35</v>
      </c>
      <c r="J17" s="3"/>
      <c r="K17" s="4" t="s">
        <v>27</v>
      </c>
      <c r="L17" s="4" t="e">
        <f t="shared" si="0"/>
        <v>#REF!</v>
      </c>
      <c r="M17" s="4" t="e">
        <f>VLOOKUP($A17,#REF!,4,FALSE)</f>
        <v>#REF!</v>
      </c>
      <c r="N17" s="4" t="e">
        <f>LEFT(VLOOKUP($A17,#REF!,5,FALSE),FIND(" &lt;",VLOOKUP($A17,#REF!,5,FALSE)))</f>
        <v>#REF!</v>
      </c>
    </row>
    <row r="18" spans="1:66" ht="28.8" x14ac:dyDescent="0.3">
      <c r="A18" s="4">
        <v>1517736</v>
      </c>
      <c r="B18" s="4" t="s">
        <v>19</v>
      </c>
      <c r="C18" s="29" t="s">
        <v>63</v>
      </c>
      <c r="D18" s="4" t="s">
        <v>21</v>
      </c>
      <c r="E18" s="4" t="s">
        <v>236</v>
      </c>
      <c r="F18" s="4" t="s">
        <v>37</v>
      </c>
      <c r="G18" s="4" t="s">
        <v>5</v>
      </c>
      <c r="H18" s="9" t="s">
        <v>4</v>
      </c>
      <c r="I18" s="4" t="s">
        <v>64</v>
      </c>
      <c r="J18" s="3" t="s">
        <v>65</v>
      </c>
      <c r="K18" s="4" t="s">
        <v>40</v>
      </c>
      <c r="L18" s="4" t="e">
        <f t="shared" si="0"/>
        <v>#REF!</v>
      </c>
      <c r="M18" s="4" t="e">
        <f>VLOOKUP($A18,#REF!,4,FALSE)</f>
        <v>#REF!</v>
      </c>
      <c r="N18" s="4" t="e">
        <f>LEFT(VLOOKUP($A18,#REF!,5,FALSE),FIND(" &lt;",VLOOKUP($A18,#REF!,5,FALSE)))</f>
        <v>#REF!</v>
      </c>
      <c r="P18" s="16"/>
      <c r="Q18" s="16"/>
      <c r="R18" s="16"/>
      <c r="S18" s="16"/>
      <c r="T18" s="16"/>
      <c r="U18" s="16"/>
      <c r="V18" s="16"/>
      <c r="W18" s="16"/>
      <c r="X18" s="16"/>
      <c r="Y18" s="16"/>
      <c r="Z18" s="16"/>
      <c r="AA18" s="16"/>
      <c r="AB18" s="16"/>
      <c r="AC18" s="16"/>
      <c r="AD18" s="16"/>
      <c r="AE18" s="16"/>
      <c r="AF18" s="16"/>
      <c r="AG18" s="16"/>
      <c r="AH18" s="16"/>
      <c r="AI18" s="16"/>
      <c r="AJ18" s="16"/>
      <c r="AK18" s="16"/>
      <c r="AL18" s="16"/>
      <c r="AM18" s="16"/>
      <c r="AN18" s="16"/>
      <c r="AO18" s="16"/>
      <c r="AP18" s="16"/>
      <c r="AQ18" s="16"/>
      <c r="AR18" s="16"/>
      <c r="AS18" s="16"/>
      <c r="AT18" s="16"/>
      <c r="AU18" s="16"/>
      <c r="AV18" s="16"/>
      <c r="AW18" s="16"/>
      <c r="AX18" s="16"/>
      <c r="AY18" s="16"/>
      <c r="AZ18" s="16"/>
      <c r="BA18" s="16"/>
      <c r="BB18" s="16"/>
      <c r="BC18" s="16"/>
      <c r="BD18" s="16"/>
      <c r="BE18" s="16"/>
      <c r="BF18" s="16"/>
      <c r="BG18" s="16"/>
      <c r="BH18" s="16"/>
      <c r="BI18" s="16"/>
      <c r="BJ18" s="16"/>
      <c r="BK18" s="16"/>
      <c r="BL18" s="16"/>
      <c r="BM18" s="16"/>
      <c r="BN18" s="16"/>
    </row>
    <row r="19" spans="1:66" x14ac:dyDescent="0.3">
      <c r="A19" s="4">
        <v>1517884</v>
      </c>
      <c r="B19" s="4" t="s">
        <v>19</v>
      </c>
      <c r="C19" s="29" t="s">
        <v>66</v>
      </c>
      <c r="D19" s="4" t="s">
        <v>21</v>
      </c>
      <c r="E19" s="4" t="s">
        <v>236</v>
      </c>
      <c r="F19" s="4" t="s">
        <v>6</v>
      </c>
      <c r="G19" s="4"/>
      <c r="H19" s="4" t="s">
        <v>4</v>
      </c>
      <c r="I19" s="4" t="s">
        <v>67</v>
      </c>
      <c r="J19" s="3"/>
      <c r="K19" s="4" t="s">
        <v>27</v>
      </c>
      <c r="L19" s="4" t="e">
        <f t="shared" si="0"/>
        <v>#REF!</v>
      </c>
      <c r="M19" s="4" t="e">
        <f>VLOOKUP($A19,#REF!,4,FALSE)</f>
        <v>#REF!</v>
      </c>
      <c r="N19" s="4" t="e">
        <f>LEFT(VLOOKUP($A19,#REF!,5,FALSE),FIND(" &lt;",VLOOKUP($A19,#REF!,5,FALSE)))</f>
        <v>#REF!</v>
      </c>
      <c r="P19" s="16"/>
      <c r="Q19" s="16"/>
      <c r="R19" s="16"/>
      <c r="S19" s="16"/>
      <c r="T19" s="16"/>
      <c r="U19" s="16"/>
      <c r="V19" s="16"/>
      <c r="W19" s="16"/>
      <c r="X19" s="16"/>
      <c r="Y19" s="16"/>
      <c r="Z19" s="16"/>
      <c r="AA19" s="16"/>
      <c r="AB19" s="16"/>
      <c r="AC19" s="16"/>
      <c r="AD19" s="16"/>
      <c r="AE19" s="16"/>
      <c r="AF19" s="16"/>
      <c r="AG19" s="16"/>
      <c r="AH19" s="16"/>
      <c r="AI19" s="16"/>
      <c r="AJ19" s="16"/>
      <c r="AK19" s="16"/>
      <c r="AL19" s="16"/>
      <c r="AM19" s="16"/>
      <c r="AN19" s="16"/>
      <c r="AO19" s="16"/>
      <c r="AP19" s="16"/>
      <c r="AQ19" s="16"/>
      <c r="AR19" s="16"/>
      <c r="AS19" s="16"/>
      <c r="AT19" s="16"/>
      <c r="AU19" s="16"/>
      <c r="AV19" s="16"/>
      <c r="AW19" s="16"/>
      <c r="AX19" s="16"/>
      <c r="AY19" s="16"/>
      <c r="AZ19" s="16"/>
      <c r="BA19" s="16"/>
      <c r="BB19" s="16"/>
      <c r="BC19" s="16"/>
      <c r="BD19" s="16"/>
      <c r="BE19" s="16"/>
      <c r="BF19" s="16"/>
      <c r="BG19" s="16"/>
      <c r="BH19" s="16"/>
      <c r="BI19" s="16"/>
      <c r="BJ19" s="16"/>
      <c r="BK19" s="16"/>
      <c r="BL19" s="16"/>
      <c r="BM19" s="16"/>
      <c r="BN19" s="16"/>
    </row>
    <row r="20" spans="1:66" x14ac:dyDescent="0.3">
      <c r="A20" s="4">
        <v>1517891</v>
      </c>
      <c r="B20" s="4" t="s">
        <v>19</v>
      </c>
      <c r="C20" s="29" t="s">
        <v>68</v>
      </c>
      <c r="D20" s="4" t="s">
        <v>21</v>
      </c>
      <c r="E20" s="4" t="s">
        <v>236</v>
      </c>
      <c r="F20" s="4" t="s">
        <v>6</v>
      </c>
      <c r="G20" s="4"/>
      <c r="H20" s="9" t="s">
        <v>4</v>
      </c>
      <c r="I20" s="4" t="s">
        <v>69</v>
      </c>
      <c r="J20" s="3"/>
      <c r="K20" s="4" t="s">
        <v>27</v>
      </c>
      <c r="L20" s="4" t="e">
        <f t="shared" si="0"/>
        <v>#REF!</v>
      </c>
      <c r="M20" s="4" t="e">
        <f>VLOOKUP($A20,#REF!,4,FALSE)</f>
        <v>#REF!</v>
      </c>
      <c r="N20" s="4" t="e">
        <f>LEFT(VLOOKUP($A20,#REF!,5,FALSE),FIND(" &lt;",VLOOKUP($A20,#REF!,5,FALSE)))</f>
        <v>#REF!</v>
      </c>
    </row>
    <row r="21" spans="1:66" x14ac:dyDescent="0.3">
      <c r="A21" s="4">
        <v>1517896</v>
      </c>
      <c r="B21" s="4" t="s">
        <v>19</v>
      </c>
      <c r="C21" s="29" t="s">
        <v>70</v>
      </c>
      <c r="D21" s="4" t="s">
        <v>21</v>
      </c>
      <c r="E21" s="4" t="s">
        <v>236</v>
      </c>
      <c r="F21" s="4" t="s">
        <v>6</v>
      </c>
      <c r="G21" s="4"/>
      <c r="H21" s="9" t="s">
        <v>4</v>
      </c>
      <c r="I21" s="4" t="s">
        <v>69</v>
      </c>
      <c r="J21" s="3"/>
      <c r="K21" s="4" t="s">
        <v>27</v>
      </c>
      <c r="L21" s="4" t="e">
        <f t="shared" si="0"/>
        <v>#REF!</v>
      </c>
      <c r="M21" s="4" t="e">
        <f>VLOOKUP($A21,#REF!,4,FALSE)</f>
        <v>#REF!</v>
      </c>
      <c r="N21" s="4" t="e">
        <f>LEFT(VLOOKUP($A21,#REF!,5,FALSE),FIND(" &lt;",VLOOKUP($A21,#REF!,5,FALSE)))</f>
        <v>#REF!</v>
      </c>
    </row>
    <row r="22" spans="1:66" ht="230.4" x14ac:dyDescent="0.3">
      <c r="A22" s="4">
        <v>1517906</v>
      </c>
      <c r="B22" s="4" t="s">
        <v>19</v>
      </c>
      <c r="C22" s="29" t="s">
        <v>71</v>
      </c>
      <c r="D22" s="4" t="s">
        <v>21</v>
      </c>
      <c r="E22" s="4" t="s">
        <v>236</v>
      </c>
      <c r="F22" s="4" t="s">
        <v>6</v>
      </c>
      <c r="G22" s="4" t="s">
        <v>5</v>
      </c>
      <c r="H22" s="9" t="s">
        <v>4</v>
      </c>
      <c r="I22" s="4" t="s">
        <v>49</v>
      </c>
      <c r="J22" s="3" t="s">
        <v>72</v>
      </c>
      <c r="K22" s="4" t="s">
        <v>23</v>
      </c>
      <c r="L22" s="4" t="e">
        <f t="shared" si="0"/>
        <v>#REF!</v>
      </c>
      <c r="M22" s="4" t="e">
        <f>VLOOKUP($A22,#REF!,4,FALSE)</f>
        <v>#REF!</v>
      </c>
      <c r="N22" s="4" t="e">
        <f>LEFT(VLOOKUP($A22,#REF!,5,FALSE),FIND(" &lt;",VLOOKUP($A22,#REF!,5,FALSE)))</f>
        <v>#REF!</v>
      </c>
      <c r="P22" s="16"/>
      <c r="Q22" s="16"/>
      <c r="R22" s="16"/>
      <c r="S22" s="16"/>
      <c r="T22" s="16"/>
      <c r="U22" s="16"/>
      <c r="V22" s="16"/>
      <c r="W22" s="16"/>
      <c r="X22" s="16"/>
      <c r="Y22" s="16"/>
      <c r="Z22" s="16"/>
      <c r="AA22" s="16"/>
      <c r="AB22" s="16"/>
      <c r="AC22" s="16"/>
      <c r="AD22" s="16"/>
      <c r="AE22" s="16"/>
      <c r="AF22" s="16"/>
      <c r="AG22" s="16"/>
      <c r="AH22" s="16"/>
      <c r="AI22" s="16"/>
      <c r="AJ22" s="16"/>
      <c r="AK22" s="16"/>
      <c r="AL22" s="16"/>
      <c r="AM22" s="16"/>
      <c r="AN22" s="16"/>
      <c r="AO22" s="16"/>
      <c r="AP22" s="16"/>
      <c r="AQ22" s="16"/>
      <c r="AR22" s="16"/>
      <c r="AS22" s="16"/>
      <c r="AT22" s="16"/>
      <c r="AU22" s="16"/>
      <c r="AV22" s="16"/>
      <c r="AW22" s="16"/>
      <c r="AX22" s="16"/>
      <c r="AY22" s="16"/>
      <c r="AZ22" s="16"/>
      <c r="BA22" s="16"/>
      <c r="BB22" s="16"/>
      <c r="BC22" s="16"/>
      <c r="BD22" s="16"/>
      <c r="BE22" s="16"/>
      <c r="BF22" s="16"/>
      <c r="BG22" s="16"/>
      <c r="BH22" s="16"/>
      <c r="BI22" s="16"/>
      <c r="BJ22" s="16"/>
      <c r="BK22" s="16"/>
      <c r="BL22" s="16"/>
      <c r="BM22" s="16"/>
      <c r="BN22" s="16"/>
    </row>
    <row r="23" spans="1:66" ht="57.6" x14ac:dyDescent="0.3">
      <c r="A23" s="4">
        <v>1517907</v>
      </c>
      <c r="B23" s="4" t="s">
        <v>19</v>
      </c>
      <c r="C23" s="29" t="s">
        <v>73</v>
      </c>
      <c r="D23" s="4" t="s">
        <v>21</v>
      </c>
      <c r="E23" s="4" t="s">
        <v>236</v>
      </c>
      <c r="F23" s="4" t="s">
        <v>6</v>
      </c>
      <c r="G23" s="4" t="s">
        <v>3</v>
      </c>
      <c r="H23" s="9" t="s">
        <v>4</v>
      </c>
      <c r="I23" s="4" t="s">
        <v>25</v>
      </c>
      <c r="J23" s="3" t="s">
        <v>74</v>
      </c>
      <c r="K23" s="4" t="s">
        <v>27</v>
      </c>
      <c r="L23" s="4" t="e">
        <f t="shared" si="0"/>
        <v>#REF!</v>
      </c>
      <c r="M23" s="4" t="e">
        <f>VLOOKUP($A23,#REF!,4,FALSE)</f>
        <v>#REF!</v>
      </c>
      <c r="N23" s="4" t="e">
        <f>LEFT(VLOOKUP($A23,#REF!,5,FALSE),FIND(" &lt;",VLOOKUP($A23,#REF!,5,FALSE)))</f>
        <v>#REF!</v>
      </c>
    </row>
    <row r="24" spans="1:66" ht="43.2" x14ac:dyDescent="0.3">
      <c r="A24" s="4">
        <v>1517928</v>
      </c>
      <c r="B24" s="4" t="s">
        <v>19</v>
      </c>
      <c r="C24" s="29" t="s">
        <v>75</v>
      </c>
      <c r="D24" s="4" t="s">
        <v>21</v>
      </c>
      <c r="E24" s="4" t="s">
        <v>236</v>
      </c>
      <c r="F24" s="4" t="s">
        <v>6</v>
      </c>
      <c r="G24" s="4" t="s">
        <v>3</v>
      </c>
      <c r="H24" s="9" t="s">
        <v>4</v>
      </c>
      <c r="I24" s="4" t="s">
        <v>76</v>
      </c>
      <c r="J24" s="3" t="s">
        <v>77</v>
      </c>
      <c r="K24" s="4" t="s">
        <v>23</v>
      </c>
      <c r="L24" s="4" t="e">
        <f t="shared" si="0"/>
        <v>#REF!</v>
      </c>
      <c r="M24" s="4" t="e">
        <f>VLOOKUP($A24,#REF!,4,FALSE)</f>
        <v>#REF!</v>
      </c>
      <c r="N24" s="4" t="e">
        <f>LEFT(VLOOKUP($A24,#REF!,5,FALSE),FIND(" &lt;",VLOOKUP($A24,#REF!,5,FALSE)))</f>
        <v>#REF!</v>
      </c>
    </row>
    <row r="25" spans="1:66" ht="28.8" x14ac:dyDescent="0.3">
      <c r="A25" s="4">
        <v>1517947</v>
      </c>
      <c r="B25" s="4" t="s">
        <v>19</v>
      </c>
      <c r="C25" s="29" t="s">
        <v>78</v>
      </c>
      <c r="D25" s="4" t="s">
        <v>21</v>
      </c>
      <c r="E25" s="4" t="s">
        <v>236</v>
      </c>
      <c r="F25" s="4" t="s">
        <v>37</v>
      </c>
      <c r="G25" s="4" t="s">
        <v>5</v>
      </c>
      <c r="H25" s="9" t="s">
        <v>4</v>
      </c>
      <c r="I25" s="4" t="s">
        <v>33</v>
      </c>
      <c r="J25" s="3" t="s">
        <v>65</v>
      </c>
      <c r="K25" s="4" t="s">
        <v>27</v>
      </c>
      <c r="L25" s="4" t="e">
        <f t="shared" si="0"/>
        <v>#REF!</v>
      </c>
      <c r="M25" s="4" t="e">
        <f>VLOOKUP($A25,#REF!,4,FALSE)</f>
        <v>#REF!</v>
      </c>
      <c r="N25" s="4" t="e">
        <f>LEFT(VLOOKUP($A25,#REF!,5,FALSE),FIND(" &lt;",VLOOKUP($A25,#REF!,5,FALSE)))</f>
        <v>#REF!</v>
      </c>
    </row>
    <row r="26" spans="1:66" ht="187.2" x14ac:dyDescent="0.3">
      <c r="A26" s="4">
        <v>1517959</v>
      </c>
      <c r="B26" s="4" t="s">
        <v>19</v>
      </c>
      <c r="C26" s="29" t="s">
        <v>79</v>
      </c>
      <c r="D26" s="4" t="s">
        <v>21</v>
      </c>
      <c r="E26" s="4" t="s">
        <v>236</v>
      </c>
      <c r="F26" s="4" t="s">
        <v>6</v>
      </c>
      <c r="G26" s="4"/>
      <c r="H26" s="9" t="s">
        <v>4</v>
      </c>
      <c r="I26" s="4" t="s">
        <v>80</v>
      </c>
      <c r="J26" s="3" t="s">
        <v>81</v>
      </c>
      <c r="K26" s="4" t="s">
        <v>23</v>
      </c>
      <c r="L26" s="4" t="e">
        <f t="shared" si="0"/>
        <v>#REF!</v>
      </c>
      <c r="M26" s="4" t="e">
        <f>VLOOKUP($A26,#REF!,4,FALSE)</f>
        <v>#REF!</v>
      </c>
      <c r="N26" s="4" t="e">
        <f>LEFT(VLOOKUP($A26,#REF!,5,FALSE),FIND(" &lt;",VLOOKUP($A26,#REF!,5,FALSE)))</f>
        <v>#REF!</v>
      </c>
    </row>
    <row r="27" spans="1:66" ht="28.8" x14ac:dyDescent="0.3">
      <c r="A27" s="4">
        <v>1517961</v>
      </c>
      <c r="B27" s="4" t="s">
        <v>19</v>
      </c>
      <c r="C27" s="29" t="s">
        <v>82</v>
      </c>
      <c r="D27" s="4" t="s">
        <v>21</v>
      </c>
      <c r="E27" s="4" t="s">
        <v>236</v>
      </c>
      <c r="F27" s="4" t="s">
        <v>6</v>
      </c>
      <c r="G27" s="4" t="s">
        <v>5</v>
      </c>
      <c r="H27" s="9" t="s">
        <v>4</v>
      </c>
      <c r="I27" s="4" t="s">
        <v>49</v>
      </c>
      <c r="J27" s="3" t="s">
        <v>83</v>
      </c>
      <c r="K27" s="4" t="s">
        <v>23</v>
      </c>
      <c r="L27" s="4" t="e">
        <f t="shared" si="0"/>
        <v>#REF!</v>
      </c>
      <c r="M27" s="4" t="e">
        <f>VLOOKUP($A27,#REF!,4,FALSE)</f>
        <v>#REF!</v>
      </c>
      <c r="N27" s="4" t="e">
        <f>LEFT(VLOOKUP($A27,#REF!,5,FALSE),FIND(" &lt;",VLOOKUP($A27,#REF!,5,FALSE)))</f>
        <v>#REF!</v>
      </c>
    </row>
    <row r="28" spans="1:66" ht="31.5" customHeight="1" x14ac:dyDescent="0.3">
      <c r="A28" s="4">
        <v>1517966</v>
      </c>
      <c r="B28" s="4" t="s">
        <v>19</v>
      </c>
      <c r="C28" s="29" t="s">
        <v>84</v>
      </c>
      <c r="D28" s="4" t="s">
        <v>21</v>
      </c>
      <c r="E28" s="4" t="s">
        <v>236</v>
      </c>
      <c r="F28" s="4" t="s">
        <v>6</v>
      </c>
      <c r="G28" s="4"/>
      <c r="H28" s="9" t="s">
        <v>4</v>
      </c>
      <c r="I28" s="4" t="s">
        <v>49</v>
      </c>
      <c r="J28" s="3" t="s">
        <v>85</v>
      </c>
      <c r="K28" s="4" t="s">
        <v>23</v>
      </c>
      <c r="L28" s="4" t="e">
        <f t="shared" si="0"/>
        <v>#REF!</v>
      </c>
      <c r="M28" s="4" t="e">
        <f>VLOOKUP($A28,#REF!,4,FALSE)</f>
        <v>#REF!</v>
      </c>
      <c r="N28" s="4" t="e">
        <f>LEFT(VLOOKUP($A28,#REF!,5,FALSE),FIND(" &lt;",VLOOKUP($A28,#REF!,5,FALSE)))</f>
        <v>#REF!</v>
      </c>
    </row>
    <row r="29" spans="1:66" ht="32.25" customHeight="1" x14ac:dyDescent="0.3">
      <c r="A29" s="4">
        <v>1517968</v>
      </c>
      <c r="B29" s="4" t="s">
        <v>19</v>
      </c>
      <c r="C29" s="29" t="s">
        <v>86</v>
      </c>
      <c r="D29" s="4" t="s">
        <v>21</v>
      </c>
      <c r="E29" s="4" t="s">
        <v>236</v>
      </c>
      <c r="F29" s="4" t="s">
        <v>6</v>
      </c>
      <c r="G29" s="4" t="s">
        <v>3</v>
      </c>
      <c r="H29" s="9" t="s">
        <v>4</v>
      </c>
      <c r="I29" s="4" t="s">
        <v>39</v>
      </c>
      <c r="J29" s="3" t="s">
        <v>87</v>
      </c>
      <c r="K29" s="4" t="s">
        <v>40</v>
      </c>
      <c r="L29" s="4" t="e">
        <f t="shared" si="0"/>
        <v>#REF!</v>
      </c>
      <c r="M29" s="4" t="e">
        <f>VLOOKUP($A29,#REF!,4,FALSE)</f>
        <v>#REF!</v>
      </c>
      <c r="N29" s="4" t="e">
        <f>LEFT(VLOOKUP($A29,#REF!,5,FALSE),FIND(" &lt;",VLOOKUP($A29,#REF!,5,FALSE)))</f>
        <v>#REF!</v>
      </c>
    </row>
    <row r="30" spans="1:66" x14ac:dyDescent="0.3">
      <c r="A30" s="4">
        <v>1517970</v>
      </c>
      <c r="B30" s="4" t="s">
        <v>19</v>
      </c>
      <c r="C30" s="29" t="s">
        <v>88</v>
      </c>
      <c r="D30" s="4" t="s">
        <v>21</v>
      </c>
      <c r="E30" s="4" t="s">
        <v>236</v>
      </c>
      <c r="F30" s="4" t="s">
        <v>6</v>
      </c>
      <c r="G30" s="4" t="s">
        <v>5</v>
      </c>
      <c r="H30" s="9" t="s">
        <v>4</v>
      </c>
      <c r="I30" s="4" t="s">
        <v>33</v>
      </c>
      <c r="J30" s="3"/>
      <c r="K30" s="4" t="s">
        <v>27</v>
      </c>
      <c r="L30" s="4" t="e">
        <f t="shared" si="0"/>
        <v>#REF!</v>
      </c>
      <c r="M30" s="4" t="e">
        <f>VLOOKUP($A30,#REF!,4,FALSE)</f>
        <v>#REF!</v>
      </c>
      <c r="N30" s="4" t="e">
        <f>LEFT(VLOOKUP($A30,#REF!,5,FALSE),FIND(" &lt;",VLOOKUP($A30,#REF!,5,FALSE)))</f>
        <v>#REF!</v>
      </c>
    </row>
    <row r="31" spans="1:66" ht="28.8" x14ac:dyDescent="0.3">
      <c r="A31" s="4">
        <v>1517977</v>
      </c>
      <c r="B31" s="4" t="s">
        <v>19</v>
      </c>
      <c r="C31" s="29" t="s">
        <v>89</v>
      </c>
      <c r="D31" s="4" t="s">
        <v>21</v>
      </c>
      <c r="E31" s="4" t="s">
        <v>236</v>
      </c>
      <c r="F31" s="4" t="s">
        <v>37</v>
      </c>
      <c r="G31" s="4"/>
      <c r="H31" s="9" t="s">
        <v>4</v>
      </c>
      <c r="I31" s="4" t="s">
        <v>29</v>
      </c>
      <c r="J31" s="3" t="s">
        <v>90</v>
      </c>
      <c r="K31" s="4" t="s">
        <v>23</v>
      </c>
      <c r="L31" s="4" t="e">
        <f t="shared" si="0"/>
        <v>#REF!</v>
      </c>
      <c r="M31" s="4" t="e">
        <f>VLOOKUP($A31,#REF!,4,FALSE)</f>
        <v>#REF!</v>
      </c>
      <c r="N31" s="4" t="e">
        <f>LEFT(VLOOKUP($A31,#REF!,5,FALSE),FIND(" &lt;",VLOOKUP($A31,#REF!,5,FALSE)))</f>
        <v>#REF!</v>
      </c>
    </row>
    <row r="32" spans="1:66" x14ac:dyDescent="0.3">
      <c r="A32" s="4">
        <v>1517978</v>
      </c>
      <c r="B32" s="4" t="s">
        <v>19</v>
      </c>
      <c r="C32" s="29" t="s">
        <v>91</v>
      </c>
      <c r="D32" s="4" t="s">
        <v>21</v>
      </c>
      <c r="E32" s="4" t="s">
        <v>236</v>
      </c>
      <c r="F32" s="4" t="s">
        <v>6</v>
      </c>
      <c r="G32" s="4" t="s">
        <v>5</v>
      </c>
      <c r="H32" s="9" t="s">
        <v>4</v>
      </c>
      <c r="I32" s="4" t="s">
        <v>92</v>
      </c>
      <c r="J32" s="3"/>
      <c r="K32" s="4" t="s">
        <v>27</v>
      </c>
      <c r="L32" s="4" t="e">
        <f t="shared" si="0"/>
        <v>#REF!</v>
      </c>
      <c r="M32" s="4" t="e">
        <f>VLOOKUP($A32,#REF!,4,FALSE)</f>
        <v>#REF!</v>
      </c>
      <c r="N32" s="4" t="e">
        <f>LEFT(VLOOKUP($A32,#REF!,5,FALSE),FIND(" &lt;",VLOOKUP($A32,#REF!,5,FALSE)))</f>
        <v>#REF!</v>
      </c>
    </row>
    <row r="33" spans="1:14" ht="26.25" customHeight="1" x14ac:dyDescent="0.3">
      <c r="A33" s="4">
        <v>1517980</v>
      </c>
      <c r="B33" s="4" t="s">
        <v>19</v>
      </c>
      <c r="C33" s="29" t="s">
        <v>93</v>
      </c>
      <c r="D33" s="4" t="s">
        <v>21</v>
      </c>
      <c r="E33" s="4" t="s">
        <v>236</v>
      </c>
      <c r="F33" s="4" t="s">
        <v>6</v>
      </c>
      <c r="G33" s="4" t="s">
        <v>3</v>
      </c>
      <c r="H33" s="9" t="s">
        <v>4</v>
      </c>
      <c r="I33" s="4" t="s">
        <v>33</v>
      </c>
      <c r="J33" s="3" t="s">
        <v>94</v>
      </c>
      <c r="K33" s="4" t="s">
        <v>40</v>
      </c>
      <c r="L33" s="4" t="e">
        <f t="shared" si="0"/>
        <v>#REF!</v>
      </c>
      <c r="M33" s="4" t="e">
        <f>VLOOKUP($A33,#REF!,4,FALSE)</f>
        <v>#REF!</v>
      </c>
      <c r="N33" s="4" t="e">
        <f>LEFT(VLOOKUP($A33,#REF!,5,FALSE),FIND(" &lt;",VLOOKUP($A33,#REF!,5,FALSE)))</f>
        <v>#REF!</v>
      </c>
    </row>
    <row r="34" spans="1:14" x14ac:dyDescent="0.3">
      <c r="A34" s="4">
        <v>1517982</v>
      </c>
      <c r="B34" s="4" t="s">
        <v>19</v>
      </c>
      <c r="C34" s="29" t="s">
        <v>95</v>
      </c>
      <c r="D34" s="4" t="s">
        <v>21</v>
      </c>
      <c r="E34" s="4" t="s">
        <v>236</v>
      </c>
      <c r="F34" s="4" t="s">
        <v>6</v>
      </c>
      <c r="G34" s="4"/>
      <c r="H34" s="9" t="s">
        <v>4</v>
      </c>
      <c r="I34" s="4" t="s">
        <v>49</v>
      </c>
      <c r="J34" s="3"/>
      <c r="K34" s="4" t="s">
        <v>27</v>
      </c>
      <c r="L34" s="4" t="e">
        <f t="shared" ref="L34:L65" si="1">IF(AND(H34="Completado",M34="Closed"),"Si","No")</f>
        <v>#REF!</v>
      </c>
      <c r="M34" s="4" t="e">
        <f>VLOOKUP($A34,#REF!,4,FALSE)</f>
        <v>#REF!</v>
      </c>
      <c r="N34" s="4" t="e">
        <f>LEFT(VLOOKUP($A34,#REF!,5,FALSE),FIND(" &lt;",VLOOKUP($A34,#REF!,5,FALSE)))</f>
        <v>#REF!</v>
      </c>
    </row>
    <row r="35" spans="1:14" ht="144" x14ac:dyDescent="0.3">
      <c r="A35" s="4">
        <v>1517987</v>
      </c>
      <c r="B35" s="4" t="s">
        <v>19</v>
      </c>
      <c r="C35" s="29" t="s">
        <v>96</v>
      </c>
      <c r="D35" s="4" t="s">
        <v>21</v>
      </c>
      <c r="E35" s="4" t="s">
        <v>236</v>
      </c>
      <c r="F35" s="4" t="s">
        <v>6</v>
      </c>
      <c r="G35" s="4"/>
      <c r="H35" s="9" t="s">
        <v>4</v>
      </c>
      <c r="I35" s="4" t="s">
        <v>97</v>
      </c>
      <c r="J35" s="3" t="s">
        <v>238</v>
      </c>
      <c r="K35" s="4" t="s">
        <v>23</v>
      </c>
      <c r="L35" s="4" t="e">
        <f t="shared" si="1"/>
        <v>#REF!</v>
      </c>
      <c r="M35" s="4" t="e">
        <f>VLOOKUP($A35,#REF!,4,FALSE)</f>
        <v>#REF!</v>
      </c>
      <c r="N35" s="4" t="e">
        <f>LEFT(VLOOKUP($A35,#REF!,5,FALSE),FIND(" &lt;",VLOOKUP($A35,#REF!,5,FALSE)))</f>
        <v>#REF!</v>
      </c>
    </row>
    <row r="36" spans="1:14" ht="43.2" x14ac:dyDescent="0.3">
      <c r="A36" s="4">
        <v>1517990</v>
      </c>
      <c r="B36" s="4" t="s">
        <v>19</v>
      </c>
      <c r="C36" s="29" t="s">
        <v>98</v>
      </c>
      <c r="D36" s="4" t="s">
        <v>21</v>
      </c>
      <c r="E36" s="4" t="s">
        <v>236</v>
      </c>
      <c r="F36" s="4" t="s">
        <v>6</v>
      </c>
      <c r="G36" s="4"/>
      <c r="H36" s="9" t="s">
        <v>4</v>
      </c>
      <c r="I36" s="4" t="s">
        <v>49</v>
      </c>
      <c r="J36" s="3" t="s">
        <v>99</v>
      </c>
      <c r="K36" s="4" t="s">
        <v>27</v>
      </c>
      <c r="L36" s="4" t="e">
        <f t="shared" si="1"/>
        <v>#REF!</v>
      </c>
      <c r="M36" s="4" t="e">
        <f>VLOOKUP($A36,#REF!,4,FALSE)</f>
        <v>#REF!</v>
      </c>
      <c r="N36" s="4" t="e">
        <f>LEFT(VLOOKUP($A36,#REF!,5,FALSE),FIND(" &lt;",VLOOKUP($A36,#REF!,5,FALSE)))</f>
        <v>#REF!</v>
      </c>
    </row>
    <row r="37" spans="1:14" x14ac:dyDescent="0.3">
      <c r="A37" s="4">
        <v>1517993</v>
      </c>
      <c r="B37" s="4" t="s">
        <v>19</v>
      </c>
      <c r="C37" s="29" t="s">
        <v>100</v>
      </c>
      <c r="D37" s="4" t="s">
        <v>21</v>
      </c>
      <c r="E37" s="4" t="s">
        <v>236</v>
      </c>
      <c r="F37" s="4" t="s">
        <v>6</v>
      </c>
      <c r="G37" s="4"/>
      <c r="H37" s="9" t="s">
        <v>4</v>
      </c>
      <c r="I37" s="4" t="s">
        <v>80</v>
      </c>
      <c r="J37" s="3"/>
      <c r="K37" s="4" t="s">
        <v>23</v>
      </c>
      <c r="L37" s="4" t="e">
        <f t="shared" si="1"/>
        <v>#REF!</v>
      </c>
      <c r="M37" s="4" t="e">
        <f>VLOOKUP($A37,#REF!,4,FALSE)</f>
        <v>#REF!</v>
      </c>
      <c r="N37" s="4" t="e">
        <f>LEFT(VLOOKUP($A37,#REF!,5,FALSE),FIND(" &lt;",VLOOKUP($A37,#REF!,5,FALSE)))</f>
        <v>#REF!</v>
      </c>
    </row>
    <row r="38" spans="1:14" x14ac:dyDescent="0.3">
      <c r="A38" s="4">
        <v>1517996</v>
      </c>
      <c r="B38" s="4" t="s">
        <v>19</v>
      </c>
      <c r="C38" s="29" t="s">
        <v>101</v>
      </c>
      <c r="D38" s="4" t="s">
        <v>21</v>
      </c>
      <c r="E38" s="4" t="s">
        <v>236</v>
      </c>
      <c r="F38" s="4" t="s">
        <v>6</v>
      </c>
      <c r="G38" s="4"/>
      <c r="H38" s="9" t="s">
        <v>4</v>
      </c>
      <c r="I38" s="4" t="s">
        <v>49</v>
      </c>
      <c r="J38" s="3"/>
      <c r="K38" s="4" t="s">
        <v>23</v>
      </c>
      <c r="L38" s="4" t="e">
        <f t="shared" si="1"/>
        <v>#REF!</v>
      </c>
      <c r="M38" s="4" t="e">
        <f>VLOOKUP($A38,#REF!,4,FALSE)</f>
        <v>#REF!</v>
      </c>
      <c r="N38" s="4" t="e">
        <f>LEFT(VLOOKUP($A38,#REF!,5,FALSE),FIND(" &lt;",VLOOKUP($A38,#REF!,5,FALSE)))</f>
        <v>#REF!</v>
      </c>
    </row>
    <row r="39" spans="1:14" ht="28.8" x14ac:dyDescent="0.3">
      <c r="A39" s="4">
        <v>1518003</v>
      </c>
      <c r="B39" s="4" t="s">
        <v>19</v>
      </c>
      <c r="C39" s="29" t="s">
        <v>102</v>
      </c>
      <c r="D39" s="4" t="s">
        <v>21</v>
      </c>
      <c r="E39" s="4" t="s">
        <v>236</v>
      </c>
      <c r="F39" s="4" t="s">
        <v>6</v>
      </c>
      <c r="G39" s="4"/>
      <c r="H39" s="9" t="s">
        <v>4</v>
      </c>
      <c r="I39" s="4" t="s">
        <v>49</v>
      </c>
      <c r="J39" s="3" t="s">
        <v>103</v>
      </c>
      <c r="K39" s="4" t="s">
        <v>27</v>
      </c>
      <c r="L39" s="4" t="e">
        <f t="shared" si="1"/>
        <v>#REF!</v>
      </c>
      <c r="M39" s="4" t="e">
        <f>VLOOKUP($A39,#REF!,4,FALSE)</f>
        <v>#REF!</v>
      </c>
      <c r="N39" s="4" t="e">
        <f>LEFT(VLOOKUP($A39,#REF!,5,FALSE),FIND(" &lt;",VLOOKUP($A39,#REF!,5,FALSE)))</f>
        <v>#REF!</v>
      </c>
    </row>
    <row r="40" spans="1:14" x14ac:dyDescent="0.3">
      <c r="A40" s="4">
        <v>1518005</v>
      </c>
      <c r="B40" s="4" t="s">
        <v>19</v>
      </c>
      <c r="C40" s="29" t="s">
        <v>104</v>
      </c>
      <c r="D40" s="4" t="s">
        <v>21</v>
      </c>
      <c r="E40" s="4" t="s">
        <v>236</v>
      </c>
      <c r="F40" s="4" t="s">
        <v>6</v>
      </c>
      <c r="G40" s="4"/>
      <c r="H40" s="9" t="s">
        <v>4</v>
      </c>
      <c r="I40" s="4" t="s">
        <v>67</v>
      </c>
      <c r="J40" s="3"/>
      <c r="K40" s="4" t="s">
        <v>23</v>
      </c>
      <c r="L40" s="4" t="e">
        <f t="shared" si="1"/>
        <v>#REF!</v>
      </c>
      <c r="M40" s="4" t="e">
        <f>VLOOKUP($A40,#REF!,4,FALSE)</f>
        <v>#REF!</v>
      </c>
      <c r="N40" s="4" t="e">
        <f>LEFT(VLOOKUP($A40,#REF!,5,FALSE),FIND(" &lt;",VLOOKUP($A40,#REF!,5,FALSE)))</f>
        <v>#REF!</v>
      </c>
    </row>
    <row r="41" spans="1:14" x14ac:dyDescent="0.3">
      <c r="A41" s="4">
        <v>1518011</v>
      </c>
      <c r="B41" s="4" t="s">
        <v>19</v>
      </c>
      <c r="C41" s="29" t="s">
        <v>105</v>
      </c>
      <c r="D41" s="4" t="s">
        <v>21</v>
      </c>
      <c r="E41" s="4" t="s">
        <v>236</v>
      </c>
      <c r="F41" s="4" t="s">
        <v>6</v>
      </c>
      <c r="G41" s="4" t="s">
        <v>3</v>
      </c>
      <c r="H41" s="9" t="s">
        <v>4</v>
      </c>
      <c r="I41" s="4" t="s">
        <v>39</v>
      </c>
      <c r="J41" s="3" t="s">
        <v>106</v>
      </c>
      <c r="K41" s="4" t="s">
        <v>23</v>
      </c>
      <c r="L41" s="4" t="e">
        <f t="shared" si="1"/>
        <v>#REF!</v>
      </c>
      <c r="M41" s="4" t="e">
        <f>VLOOKUP($A41,#REF!,4,FALSE)</f>
        <v>#REF!</v>
      </c>
      <c r="N41" s="4" t="e">
        <f>LEFT(VLOOKUP($A41,#REF!,5,FALSE),FIND(" &lt;",VLOOKUP($A41,#REF!,5,FALSE)))</f>
        <v>#REF!</v>
      </c>
    </row>
    <row r="42" spans="1:14" ht="46.5" customHeight="1" x14ac:dyDescent="0.3">
      <c r="A42" s="4">
        <v>1518029</v>
      </c>
      <c r="B42" s="4" t="s">
        <v>19</v>
      </c>
      <c r="C42" s="29" t="s">
        <v>107</v>
      </c>
      <c r="D42" s="4" t="s">
        <v>21</v>
      </c>
      <c r="E42" s="4" t="s">
        <v>236</v>
      </c>
      <c r="F42" s="4" t="s">
        <v>37</v>
      </c>
      <c r="G42" s="4"/>
      <c r="H42" s="9" t="s">
        <v>4</v>
      </c>
      <c r="I42" s="4" t="s">
        <v>33</v>
      </c>
      <c r="J42" s="3" t="s">
        <v>108</v>
      </c>
      <c r="K42" s="4" t="s">
        <v>23</v>
      </c>
      <c r="L42" s="4" t="e">
        <f t="shared" si="1"/>
        <v>#REF!</v>
      </c>
      <c r="M42" s="4" t="e">
        <f>VLOOKUP($A42,#REF!,4,FALSE)</f>
        <v>#REF!</v>
      </c>
      <c r="N42" s="4" t="e">
        <f>LEFT(VLOOKUP($A42,#REF!,5,FALSE),FIND(" &lt;",VLOOKUP($A42,#REF!,5,FALSE)))</f>
        <v>#REF!</v>
      </c>
    </row>
    <row r="43" spans="1:14" ht="29.25" customHeight="1" x14ac:dyDescent="0.3">
      <c r="A43" s="4">
        <v>1518044</v>
      </c>
      <c r="B43" s="4" t="s">
        <v>19</v>
      </c>
      <c r="C43" s="29" t="s">
        <v>109</v>
      </c>
      <c r="D43" s="4" t="s">
        <v>21</v>
      </c>
      <c r="E43" s="4" t="s">
        <v>236</v>
      </c>
      <c r="F43" s="4" t="s">
        <v>6</v>
      </c>
      <c r="G43" s="4"/>
      <c r="H43" s="9" t="s">
        <v>4</v>
      </c>
      <c r="I43" s="4" t="s">
        <v>33</v>
      </c>
      <c r="J43" s="3" t="s">
        <v>110</v>
      </c>
      <c r="K43" s="4" t="s">
        <v>23</v>
      </c>
      <c r="L43" s="4" t="e">
        <f t="shared" si="1"/>
        <v>#REF!</v>
      </c>
      <c r="M43" s="4" t="e">
        <f>VLOOKUP($A43,#REF!,4,FALSE)</f>
        <v>#REF!</v>
      </c>
      <c r="N43" s="4" t="e">
        <f>LEFT(VLOOKUP($A43,#REF!,5,FALSE),FIND(" &lt;",VLOOKUP($A43,#REF!,5,FALSE)))</f>
        <v>#REF!</v>
      </c>
    </row>
    <row r="44" spans="1:14" x14ac:dyDescent="0.3">
      <c r="A44" s="4">
        <v>1518053</v>
      </c>
      <c r="B44" s="4" t="s">
        <v>19</v>
      </c>
      <c r="C44" s="29" t="s">
        <v>111</v>
      </c>
      <c r="D44" s="4" t="s">
        <v>21</v>
      </c>
      <c r="E44" s="4" t="s">
        <v>236</v>
      </c>
      <c r="F44" s="4" t="s">
        <v>6</v>
      </c>
      <c r="G44" s="4" t="s">
        <v>3</v>
      </c>
      <c r="H44" s="9" t="s">
        <v>4</v>
      </c>
      <c r="I44" s="4" t="s">
        <v>112</v>
      </c>
      <c r="J44" s="3"/>
      <c r="K44" s="4" t="s">
        <v>23</v>
      </c>
      <c r="L44" s="4" t="e">
        <f t="shared" si="1"/>
        <v>#REF!</v>
      </c>
      <c r="M44" s="4" t="e">
        <f>VLOOKUP($A44,#REF!,4,FALSE)</f>
        <v>#REF!</v>
      </c>
      <c r="N44" s="4" t="e">
        <f>LEFT(VLOOKUP($A44,#REF!,5,FALSE),FIND(" &lt;",VLOOKUP($A44,#REF!,5,FALSE)))</f>
        <v>#REF!</v>
      </c>
    </row>
    <row r="45" spans="1:14" x14ac:dyDescent="0.3">
      <c r="A45" s="4">
        <v>1518059</v>
      </c>
      <c r="B45" s="4" t="s">
        <v>19</v>
      </c>
      <c r="C45" s="29" t="s">
        <v>113</v>
      </c>
      <c r="D45" s="4" t="s">
        <v>21</v>
      </c>
      <c r="E45" s="4" t="s">
        <v>236</v>
      </c>
      <c r="F45" s="4" t="s">
        <v>6</v>
      </c>
      <c r="G45" s="4" t="s">
        <v>3</v>
      </c>
      <c r="H45" s="9" t="s">
        <v>4</v>
      </c>
      <c r="I45" s="4" t="s">
        <v>112</v>
      </c>
      <c r="J45" s="3"/>
      <c r="K45" s="4" t="s">
        <v>23</v>
      </c>
      <c r="L45" s="4" t="e">
        <f t="shared" si="1"/>
        <v>#REF!</v>
      </c>
      <c r="M45" s="4" t="e">
        <f>VLOOKUP($A45,#REF!,4,FALSE)</f>
        <v>#REF!</v>
      </c>
      <c r="N45" s="4" t="e">
        <f>LEFT(VLOOKUP($A45,#REF!,5,FALSE),FIND(" &lt;",VLOOKUP($A45,#REF!,5,FALSE)))</f>
        <v>#REF!</v>
      </c>
    </row>
    <row r="46" spans="1:14" x14ac:dyDescent="0.3">
      <c r="A46" s="4">
        <v>1518070</v>
      </c>
      <c r="B46" s="4" t="s">
        <v>19</v>
      </c>
      <c r="C46" s="29" t="s">
        <v>114</v>
      </c>
      <c r="D46" s="4" t="s">
        <v>21</v>
      </c>
      <c r="E46" s="4" t="s">
        <v>236</v>
      </c>
      <c r="F46" s="4" t="s">
        <v>6</v>
      </c>
      <c r="G46" s="4" t="s">
        <v>3</v>
      </c>
      <c r="H46" s="9" t="s">
        <v>4</v>
      </c>
      <c r="I46" s="4" t="s">
        <v>33</v>
      </c>
      <c r="J46" s="3"/>
      <c r="K46" s="4" t="s">
        <v>23</v>
      </c>
      <c r="L46" s="4" t="e">
        <f t="shared" si="1"/>
        <v>#REF!</v>
      </c>
      <c r="M46" s="4" t="e">
        <f>VLOOKUP($A46,#REF!,4,FALSE)</f>
        <v>#REF!</v>
      </c>
      <c r="N46" s="4" t="e">
        <f>LEFT(VLOOKUP($A46,#REF!,5,FALSE),FIND(" &lt;",VLOOKUP($A46,#REF!,5,FALSE)))</f>
        <v>#REF!</v>
      </c>
    </row>
    <row r="47" spans="1:14" x14ac:dyDescent="0.3">
      <c r="A47" s="4">
        <v>1521753</v>
      </c>
      <c r="B47" s="4" t="s">
        <v>19</v>
      </c>
      <c r="C47" s="29" t="s">
        <v>115</v>
      </c>
      <c r="D47" s="4" t="s">
        <v>21</v>
      </c>
      <c r="E47" s="4" t="s">
        <v>237</v>
      </c>
      <c r="F47" s="4" t="s">
        <v>6</v>
      </c>
      <c r="G47" s="4"/>
      <c r="H47" s="9" t="s">
        <v>4</v>
      </c>
      <c r="I47" s="4"/>
      <c r="J47" s="3"/>
      <c r="K47" s="4" t="s">
        <v>27</v>
      </c>
      <c r="L47" s="4" t="e">
        <f t="shared" si="1"/>
        <v>#REF!</v>
      </c>
      <c r="M47" s="4" t="e">
        <f>VLOOKUP($A47,#REF!,4,FALSE)</f>
        <v>#REF!</v>
      </c>
      <c r="N47" s="4" t="e">
        <f>LEFT(VLOOKUP($A47,#REF!,5,FALSE),FIND(" &lt;",VLOOKUP($A47,#REF!,5,FALSE)))</f>
        <v>#REF!</v>
      </c>
    </row>
    <row r="48" spans="1:14" ht="28.8" x14ac:dyDescent="0.3">
      <c r="A48" s="4">
        <v>1521759</v>
      </c>
      <c r="B48" s="4" t="s">
        <v>19</v>
      </c>
      <c r="C48" s="29" t="s">
        <v>116</v>
      </c>
      <c r="D48" s="4" t="s">
        <v>21</v>
      </c>
      <c r="E48" s="4" t="s">
        <v>237</v>
      </c>
      <c r="F48" s="4" t="s">
        <v>6</v>
      </c>
      <c r="G48" s="4"/>
      <c r="H48" s="9" t="s">
        <v>4</v>
      </c>
      <c r="I48" s="4"/>
      <c r="J48" s="3" t="s">
        <v>117</v>
      </c>
      <c r="K48" s="4" t="s">
        <v>40</v>
      </c>
      <c r="L48" s="4" t="e">
        <f t="shared" si="1"/>
        <v>#REF!</v>
      </c>
      <c r="M48" s="4" t="e">
        <f>VLOOKUP($A48,#REF!,4,FALSE)</f>
        <v>#REF!</v>
      </c>
      <c r="N48" s="4" t="e">
        <f>LEFT(VLOOKUP($A48,#REF!,5,FALSE),FIND(" &lt;",VLOOKUP($A48,#REF!,5,FALSE)))</f>
        <v>#REF!</v>
      </c>
    </row>
    <row r="49" spans="1:14" x14ac:dyDescent="0.3">
      <c r="A49" s="4">
        <v>1521793</v>
      </c>
      <c r="B49" s="4" t="s">
        <v>19</v>
      </c>
      <c r="C49" s="29" t="s">
        <v>118</v>
      </c>
      <c r="D49" s="4" t="s">
        <v>21</v>
      </c>
      <c r="E49" s="4" t="s">
        <v>237</v>
      </c>
      <c r="F49" s="4" t="s">
        <v>6</v>
      </c>
      <c r="G49" s="4"/>
      <c r="H49" s="9" t="s">
        <v>4</v>
      </c>
      <c r="I49" s="4"/>
      <c r="J49" s="3"/>
      <c r="K49" s="4" t="s">
        <v>23</v>
      </c>
      <c r="L49" s="4" t="e">
        <f t="shared" si="1"/>
        <v>#REF!</v>
      </c>
      <c r="M49" s="4" t="e">
        <f>VLOOKUP($A49,#REF!,4,FALSE)</f>
        <v>#REF!</v>
      </c>
      <c r="N49" s="4" t="e">
        <f>LEFT(VLOOKUP($A49,#REF!,5,FALSE),FIND(" &lt;",VLOOKUP($A49,#REF!,5,FALSE)))</f>
        <v>#REF!</v>
      </c>
    </row>
    <row r="50" spans="1:14" x14ac:dyDescent="0.3">
      <c r="A50" s="4">
        <v>1521798</v>
      </c>
      <c r="B50" s="4" t="s">
        <v>119</v>
      </c>
      <c r="C50" s="29" t="s">
        <v>120</v>
      </c>
      <c r="D50" s="4"/>
      <c r="E50" s="4"/>
      <c r="F50" s="4" t="s">
        <v>6</v>
      </c>
      <c r="G50" s="4"/>
      <c r="H50" s="9" t="s">
        <v>4</v>
      </c>
      <c r="I50" s="4"/>
      <c r="J50" s="3"/>
      <c r="K50" s="4" t="s">
        <v>27</v>
      </c>
      <c r="L50" s="4" t="e">
        <f t="shared" si="1"/>
        <v>#REF!</v>
      </c>
      <c r="M50" s="4" t="e">
        <f>VLOOKUP($A50,#REF!,4,FALSE)</f>
        <v>#REF!</v>
      </c>
      <c r="N50" s="4" t="e">
        <f>LEFT(VLOOKUP($A50,#REF!,5,FALSE),FIND(" &lt;",VLOOKUP($A50,#REF!,5,FALSE)))</f>
        <v>#REF!</v>
      </c>
    </row>
    <row r="51" spans="1:14" x14ac:dyDescent="0.3">
      <c r="A51" s="4">
        <v>1521835</v>
      </c>
      <c r="B51" s="4" t="s">
        <v>121</v>
      </c>
      <c r="C51" s="29" t="s">
        <v>122</v>
      </c>
      <c r="D51" s="4"/>
      <c r="E51" s="4"/>
      <c r="F51" s="4" t="s">
        <v>6</v>
      </c>
      <c r="G51" s="4"/>
      <c r="H51" s="9" t="s">
        <v>4</v>
      </c>
      <c r="I51" s="4"/>
      <c r="J51" s="3"/>
      <c r="K51" s="4" t="s">
        <v>23</v>
      </c>
      <c r="L51" s="4" t="e">
        <f t="shared" si="1"/>
        <v>#REF!</v>
      </c>
      <c r="M51" s="4" t="e">
        <f>VLOOKUP($A51,#REF!,4,FALSE)</f>
        <v>#REF!</v>
      </c>
      <c r="N51" s="4" t="e">
        <f>LEFT(VLOOKUP($A51,#REF!,5,FALSE),FIND(" &lt;",VLOOKUP($A51,#REF!,5,FALSE)))</f>
        <v>#REF!</v>
      </c>
    </row>
    <row r="52" spans="1:14" ht="45" customHeight="1" x14ac:dyDescent="0.3">
      <c r="A52" s="4">
        <v>1521836</v>
      </c>
      <c r="B52" s="4" t="s">
        <v>123</v>
      </c>
      <c r="C52" s="29" t="s">
        <v>124</v>
      </c>
      <c r="D52" s="4"/>
      <c r="E52" s="4"/>
      <c r="F52" s="4" t="s">
        <v>37</v>
      </c>
      <c r="G52" s="4"/>
      <c r="H52" s="9" t="s">
        <v>4</v>
      </c>
      <c r="I52" s="4"/>
      <c r="J52" s="3" t="s">
        <v>125</v>
      </c>
      <c r="K52" s="4" t="s">
        <v>27</v>
      </c>
      <c r="L52" s="4" t="e">
        <f t="shared" si="1"/>
        <v>#REF!</v>
      </c>
      <c r="M52" s="4" t="e">
        <f>VLOOKUP($A52,#REF!,4,FALSE)</f>
        <v>#REF!</v>
      </c>
      <c r="N52" s="4" t="e">
        <f>LEFT(VLOOKUP($A52,#REF!,5,FALSE),FIND(" &lt;",VLOOKUP($A52,#REF!,5,FALSE)))</f>
        <v>#REF!</v>
      </c>
    </row>
    <row r="53" spans="1:14" ht="129.6" x14ac:dyDescent="0.3">
      <c r="A53" s="4">
        <v>1521837</v>
      </c>
      <c r="B53" s="4" t="s">
        <v>126</v>
      </c>
      <c r="C53" s="29" t="s">
        <v>127</v>
      </c>
      <c r="D53" s="4"/>
      <c r="E53" s="4"/>
      <c r="F53" s="4" t="s">
        <v>6</v>
      </c>
      <c r="G53" s="4"/>
      <c r="H53" s="9" t="s">
        <v>4</v>
      </c>
      <c r="I53" s="4"/>
      <c r="J53" s="3" t="s">
        <v>239</v>
      </c>
      <c r="K53" s="4" t="s">
        <v>27</v>
      </c>
      <c r="L53" s="4" t="e">
        <f t="shared" si="1"/>
        <v>#REF!</v>
      </c>
      <c r="M53" s="4" t="e">
        <f>VLOOKUP($A53,#REF!,4,FALSE)</f>
        <v>#REF!</v>
      </c>
      <c r="N53" s="4" t="e">
        <f>LEFT(VLOOKUP($A53,#REF!,5,FALSE),FIND(" &lt;",VLOOKUP($A53,#REF!,5,FALSE)))</f>
        <v>#REF!</v>
      </c>
    </row>
    <row r="54" spans="1:14" x14ac:dyDescent="0.3">
      <c r="A54" s="4">
        <v>1521838</v>
      </c>
      <c r="B54" s="4" t="s">
        <v>128</v>
      </c>
      <c r="C54" s="29" t="s">
        <v>129</v>
      </c>
      <c r="D54" s="4"/>
      <c r="E54" s="4"/>
      <c r="F54" s="4" t="s">
        <v>37</v>
      </c>
      <c r="G54" s="4"/>
      <c r="H54" s="9" t="s">
        <v>4</v>
      </c>
      <c r="I54" s="4"/>
      <c r="J54" s="3" t="s">
        <v>125</v>
      </c>
      <c r="K54" s="4" t="s">
        <v>27</v>
      </c>
      <c r="L54" s="4" t="e">
        <f t="shared" si="1"/>
        <v>#REF!</v>
      </c>
      <c r="M54" s="4" t="e">
        <f>VLOOKUP($A54,#REF!,4,FALSE)</f>
        <v>#REF!</v>
      </c>
      <c r="N54" s="4" t="e">
        <f>LEFT(VLOOKUP($A54,#REF!,5,FALSE),FIND(" &lt;",VLOOKUP($A54,#REF!,5,FALSE)))</f>
        <v>#REF!</v>
      </c>
    </row>
    <row r="55" spans="1:14" x14ac:dyDescent="0.3">
      <c r="A55" s="4">
        <v>1521839</v>
      </c>
      <c r="B55" s="4" t="s">
        <v>130</v>
      </c>
      <c r="C55" s="29" t="s">
        <v>131</v>
      </c>
      <c r="D55" s="4"/>
      <c r="E55" s="4"/>
      <c r="F55" s="4" t="s">
        <v>37</v>
      </c>
      <c r="G55" s="4"/>
      <c r="H55" s="9" t="s">
        <v>4</v>
      </c>
      <c r="I55" s="4"/>
      <c r="J55" s="3"/>
      <c r="K55" s="4" t="s">
        <v>23</v>
      </c>
      <c r="L55" s="4" t="e">
        <f t="shared" si="1"/>
        <v>#REF!</v>
      </c>
      <c r="M55" s="4" t="e">
        <f>VLOOKUP($A55,#REF!,4,FALSE)</f>
        <v>#REF!</v>
      </c>
      <c r="N55" s="4" t="e">
        <f>LEFT(VLOOKUP($A55,#REF!,5,FALSE),FIND(" &lt;",VLOOKUP($A55,#REF!,5,FALSE)))</f>
        <v>#REF!</v>
      </c>
    </row>
    <row r="56" spans="1:14" ht="129.6" x14ac:dyDescent="0.3">
      <c r="A56" s="4">
        <v>1521840</v>
      </c>
      <c r="B56" s="4" t="s">
        <v>132</v>
      </c>
      <c r="C56" s="29" t="s">
        <v>133</v>
      </c>
      <c r="D56" s="4"/>
      <c r="E56" s="4"/>
      <c r="F56" s="4" t="s">
        <v>37</v>
      </c>
      <c r="G56" s="4"/>
      <c r="H56" s="9" t="s">
        <v>4</v>
      </c>
      <c r="I56" s="4"/>
      <c r="J56" s="3" t="s">
        <v>134</v>
      </c>
      <c r="K56" s="4" t="s">
        <v>27</v>
      </c>
      <c r="L56" s="4" t="e">
        <f t="shared" si="1"/>
        <v>#REF!</v>
      </c>
      <c r="M56" s="4" t="e">
        <f>VLOOKUP($A56,#REF!,4,FALSE)</f>
        <v>#REF!</v>
      </c>
      <c r="N56" s="4" t="e">
        <f>LEFT(VLOOKUP($A56,#REF!,5,FALSE),FIND(" &lt;",VLOOKUP($A56,#REF!,5,FALSE)))</f>
        <v>#REF!</v>
      </c>
    </row>
    <row r="57" spans="1:14" x14ac:dyDescent="0.3">
      <c r="A57" s="4">
        <v>1521841</v>
      </c>
      <c r="B57" s="4" t="s">
        <v>135</v>
      </c>
      <c r="C57" s="29" t="s">
        <v>136</v>
      </c>
      <c r="D57" s="4"/>
      <c r="E57" s="4"/>
      <c r="F57" s="4" t="s">
        <v>6</v>
      </c>
      <c r="G57" s="4"/>
      <c r="H57" s="9" t="s">
        <v>4</v>
      </c>
      <c r="I57" s="4"/>
      <c r="J57" s="3"/>
      <c r="K57" s="4" t="s">
        <v>27</v>
      </c>
      <c r="L57" s="4" t="e">
        <f t="shared" si="1"/>
        <v>#REF!</v>
      </c>
      <c r="M57" s="4" t="e">
        <f>VLOOKUP($A57,#REF!,4,FALSE)</f>
        <v>#REF!</v>
      </c>
      <c r="N57" s="4" t="e">
        <f>LEFT(VLOOKUP($A57,#REF!,5,FALSE),FIND(" &lt;",VLOOKUP($A57,#REF!,5,FALSE)))</f>
        <v>#REF!</v>
      </c>
    </row>
    <row r="58" spans="1:14" x14ac:dyDescent="0.3">
      <c r="A58" s="4">
        <v>1521842</v>
      </c>
      <c r="B58" s="4" t="s">
        <v>137</v>
      </c>
      <c r="C58" s="29" t="s">
        <v>138</v>
      </c>
      <c r="D58" s="4"/>
      <c r="E58" s="4"/>
      <c r="F58" s="4" t="s">
        <v>6</v>
      </c>
      <c r="G58" s="4"/>
      <c r="H58" s="9" t="s">
        <v>4</v>
      </c>
      <c r="I58" s="4"/>
      <c r="J58" s="3"/>
      <c r="K58" s="4" t="s">
        <v>23</v>
      </c>
      <c r="L58" s="4" t="e">
        <f t="shared" si="1"/>
        <v>#REF!</v>
      </c>
      <c r="M58" s="4" t="e">
        <f>VLOOKUP($A58,#REF!,4,FALSE)</f>
        <v>#REF!</v>
      </c>
      <c r="N58" s="4" t="e">
        <f>LEFT(VLOOKUP($A58,#REF!,5,FALSE),FIND(" &lt;",VLOOKUP($A58,#REF!,5,FALSE)))</f>
        <v>#REF!</v>
      </c>
    </row>
    <row r="59" spans="1:14" x14ac:dyDescent="0.3">
      <c r="A59" s="4">
        <v>1521843</v>
      </c>
      <c r="B59" s="4" t="s">
        <v>139</v>
      </c>
      <c r="C59" s="29" t="s">
        <v>140</v>
      </c>
      <c r="D59" s="4"/>
      <c r="E59" s="4"/>
      <c r="F59" s="4" t="s">
        <v>6</v>
      </c>
      <c r="G59" s="4"/>
      <c r="H59" s="9" t="s">
        <v>4</v>
      </c>
      <c r="I59" s="4"/>
      <c r="J59" s="3"/>
      <c r="K59" s="4" t="s">
        <v>23</v>
      </c>
      <c r="L59" s="4" t="e">
        <f t="shared" si="1"/>
        <v>#REF!</v>
      </c>
      <c r="M59" s="4" t="e">
        <f>VLOOKUP($A59,#REF!,4,FALSE)</f>
        <v>#REF!</v>
      </c>
      <c r="N59" s="4" t="e">
        <f>LEFT(VLOOKUP($A59,#REF!,5,FALSE),FIND(" &lt;",VLOOKUP($A59,#REF!,5,FALSE)))</f>
        <v>#REF!</v>
      </c>
    </row>
    <row r="60" spans="1:14" x14ac:dyDescent="0.3">
      <c r="A60" s="4">
        <v>1521844</v>
      </c>
      <c r="B60" s="4" t="s">
        <v>141</v>
      </c>
      <c r="C60" s="29" t="s">
        <v>142</v>
      </c>
      <c r="D60" s="4"/>
      <c r="E60" s="4"/>
      <c r="F60" s="4" t="s">
        <v>6</v>
      </c>
      <c r="G60" s="4"/>
      <c r="H60" s="9" t="s">
        <v>4</v>
      </c>
      <c r="I60" s="4"/>
      <c r="J60" s="3" t="s">
        <v>143</v>
      </c>
      <c r="K60" s="4" t="s">
        <v>27</v>
      </c>
      <c r="L60" s="4" t="e">
        <f t="shared" si="1"/>
        <v>#REF!</v>
      </c>
      <c r="M60" s="4" t="e">
        <f>VLOOKUP($A60,#REF!,4,FALSE)</f>
        <v>#REF!</v>
      </c>
      <c r="N60" s="4" t="e">
        <f>LEFT(VLOOKUP($A60,#REF!,5,FALSE),FIND(" &lt;",VLOOKUP($A60,#REF!,5,FALSE)))</f>
        <v>#REF!</v>
      </c>
    </row>
    <row r="61" spans="1:14" x14ac:dyDescent="0.3">
      <c r="A61" s="4">
        <v>1521867</v>
      </c>
      <c r="B61" s="4" t="s">
        <v>144</v>
      </c>
      <c r="C61" s="29" t="s">
        <v>145</v>
      </c>
      <c r="D61" s="4"/>
      <c r="E61" s="4"/>
      <c r="F61" s="4" t="s">
        <v>6</v>
      </c>
      <c r="G61" s="4"/>
      <c r="H61" s="9" t="s">
        <v>4</v>
      </c>
      <c r="I61" s="4"/>
      <c r="J61" s="3"/>
      <c r="K61" s="4" t="s">
        <v>23</v>
      </c>
      <c r="L61" s="4" t="e">
        <f t="shared" si="1"/>
        <v>#REF!</v>
      </c>
      <c r="M61" s="4" t="e">
        <f>VLOOKUP($A61,#REF!,4,FALSE)</f>
        <v>#REF!</v>
      </c>
      <c r="N61" s="4" t="e">
        <f>LEFT(VLOOKUP($A61,#REF!,5,FALSE),FIND(" &lt;",VLOOKUP($A61,#REF!,5,FALSE)))</f>
        <v>#REF!</v>
      </c>
    </row>
    <row r="62" spans="1:14" x14ac:dyDescent="0.3">
      <c r="A62" s="4">
        <v>1521868</v>
      </c>
      <c r="B62" s="4" t="s">
        <v>146</v>
      </c>
      <c r="C62" s="29" t="s">
        <v>147</v>
      </c>
      <c r="D62" s="4"/>
      <c r="E62" s="4"/>
      <c r="F62" s="4" t="s">
        <v>6</v>
      </c>
      <c r="G62" s="4"/>
      <c r="H62" s="9" t="s">
        <v>4</v>
      </c>
      <c r="I62" s="4"/>
      <c r="J62" s="3"/>
      <c r="K62" s="4" t="s">
        <v>23</v>
      </c>
      <c r="L62" s="4" t="e">
        <f t="shared" si="1"/>
        <v>#REF!</v>
      </c>
      <c r="M62" s="4" t="e">
        <f>VLOOKUP($A62,#REF!,4,FALSE)</f>
        <v>#REF!</v>
      </c>
      <c r="N62" s="4" t="e">
        <f>LEFT(VLOOKUP($A62,#REF!,5,FALSE),FIND(" &lt;",VLOOKUP($A62,#REF!,5,FALSE)))</f>
        <v>#REF!</v>
      </c>
    </row>
    <row r="63" spans="1:14" ht="30" customHeight="1" x14ac:dyDescent="0.3">
      <c r="A63" s="4">
        <v>1521871</v>
      </c>
      <c r="B63" s="4" t="s">
        <v>148</v>
      </c>
      <c r="C63" s="29" t="s">
        <v>149</v>
      </c>
      <c r="D63" s="4"/>
      <c r="E63" s="4"/>
      <c r="F63" s="4" t="s">
        <v>37</v>
      </c>
      <c r="G63" s="4"/>
      <c r="H63" s="9" t="s">
        <v>4</v>
      </c>
      <c r="I63" s="4"/>
      <c r="J63" s="3" t="s">
        <v>47</v>
      </c>
      <c r="K63" s="4" t="s">
        <v>27</v>
      </c>
      <c r="L63" s="4" t="e">
        <f t="shared" si="1"/>
        <v>#REF!</v>
      </c>
      <c r="M63" s="4" t="e">
        <f>VLOOKUP($A63,#REF!,4,FALSE)</f>
        <v>#REF!</v>
      </c>
      <c r="N63" s="4" t="e">
        <f>LEFT(VLOOKUP($A63,#REF!,5,FALSE),FIND(" &lt;",VLOOKUP($A63,#REF!,5,FALSE)))</f>
        <v>#REF!</v>
      </c>
    </row>
    <row r="64" spans="1:14" x14ac:dyDescent="0.3">
      <c r="A64" s="4">
        <v>1521879</v>
      </c>
      <c r="B64" s="4" t="s">
        <v>150</v>
      </c>
      <c r="C64" s="29" t="s">
        <v>151</v>
      </c>
      <c r="D64" s="4"/>
      <c r="E64" s="4"/>
      <c r="F64" s="4" t="s">
        <v>6</v>
      </c>
      <c r="G64" s="4"/>
      <c r="H64" s="9" t="s">
        <v>4</v>
      </c>
      <c r="I64" s="4"/>
      <c r="J64" s="3" t="s">
        <v>152</v>
      </c>
      <c r="K64" s="4" t="s">
        <v>27</v>
      </c>
      <c r="L64" s="4" t="e">
        <f t="shared" si="1"/>
        <v>#REF!</v>
      </c>
      <c r="M64" s="4" t="e">
        <f>VLOOKUP($A64,#REF!,4,FALSE)</f>
        <v>#REF!</v>
      </c>
      <c r="N64" s="4" t="e">
        <f>LEFT(VLOOKUP($A64,#REF!,5,FALSE),FIND(" &lt;",VLOOKUP($A64,#REF!,5,FALSE)))</f>
        <v>#REF!</v>
      </c>
    </row>
    <row r="65" spans="1:14" ht="86.4" x14ac:dyDescent="0.3">
      <c r="A65" s="4">
        <v>1521880</v>
      </c>
      <c r="B65" s="4" t="s">
        <v>153</v>
      </c>
      <c r="C65" s="29" t="s">
        <v>154</v>
      </c>
      <c r="D65" s="4"/>
      <c r="E65" s="4"/>
      <c r="F65" s="4" t="s">
        <v>37</v>
      </c>
      <c r="G65" s="4" t="s">
        <v>5</v>
      </c>
      <c r="H65" s="9" t="s">
        <v>4</v>
      </c>
      <c r="I65" s="4"/>
      <c r="J65" s="3" t="s">
        <v>240</v>
      </c>
      <c r="K65" s="4" t="s">
        <v>27</v>
      </c>
      <c r="L65" s="4" t="e">
        <f t="shared" si="1"/>
        <v>#REF!</v>
      </c>
      <c r="M65" s="4" t="e">
        <f>VLOOKUP($A65,#REF!,4,FALSE)</f>
        <v>#REF!</v>
      </c>
      <c r="N65" s="4" t="e">
        <f>LEFT(VLOOKUP($A65,#REF!,5,FALSE),FIND(" &lt;",VLOOKUP($A65,#REF!,5,FALSE)))</f>
        <v>#REF!</v>
      </c>
    </row>
    <row r="66" spans="1:14" x14ac:dyDescent="0.3">
      <c r="A66" s="4">
        <v>1521890</v>
      </c>
      <c r="B66" s="4" t="s">
        <v>155</v>
      </c>
      <c r="C66" s="29" t="s">
        <v>156</v>
      </c>
      <c r="D66" s="4"/>
      <c r="E66" s="4"/>
      <c r="F66" s="4" t="s">
        <v>6</v>
      </c>
      <c r="G66" s="4"/>
      <c r="H66" s="9" t="s">
        <v>4</v>
      </c>
      <c r="I66" s="4"/>
      <c r="J66" s="3"/>
      <c r="K66" s="4" t="s">
        <v>23</v>
      </c>
      <c r="L66" s="4" t="e">
        <f t="shared" ref="L66:L77" si="2">IF(AND(H66="Completado",M66="Closed"),"Si","No")</f>
        <v>#REF!</v>
      </c>
      <c r="M66" s="4" t="e">
        <f>VLOOKUP($A66,#REF!,4,FALSE)</f>
        <v>#REF!</v>
      </c>
      <c r="N66" s="4" t="e">
        <f>LEFT(VLOOKUP($A66,#REF!,5,FALSE),FIND(" &lt;",VLOOKUP($A66,#REF!,5,FALSE)))</f>
        <v>#REF!</v>
      </c>
    </row>
    <row r="67" spans="1:14" ht="57.6" x14ac:dyDescent="0.3">
      <c r="A67" s="4">
        <v>1521898</v>
      </c>
      <c r="B67" s="4" t="s">
        <v>157</v>
      </c>
      <c r="C67" s="29" t="s">
        <v>158</v>
      </c>
      <c r="D67" s="4"/>
      <c r="E67" s="4"/>
      <c r="F67" s="4" t="s">
        <v>37</v>
      </c>
      <c r="G67" s="4" t="s">
        <v>5</v>
      </c>
      <c r="H67" s="9" t="s">
        <v>4</v>
      </c>
      <c r="I67" s="4"/>
      <c r="J67" s="3" t="s">
        <v>241</v>
      </c>
      <c r="K67" s="4" t="s">
        <v>27</v>
      </c>
      <c r="L67" s="4" t="e">
        <f t="shared" si="2"/>
        <v>#REF!</v>
      </c>
      <c r="M67" s="4" t="e">
        <f>VLOOKUP($A67,#REF!,4,FALSE)</f>
        <v>#REF!</v>
      </c>
      <c r="N67" s="4" t="e">
        <f>LEFT(VLOOKUP($A67,#REF!,5,FALSE),FIND(" &lt;",VLOOKUP($A67,#REF!,5,FALSE)))</f>
        <v>#REF!</v>
      </c>
    </row>
    <row r="68" spans="1:14" x14ac:dyDescent="0.3">
      <c r="A68" s="4">
        <v>1521900</v>
      </c>
      <c r="B68" s="4" t="s">
        <v>159</v>
      </c>
      <c r="C68" s="29" t="s">
        <v>160</v>
      </c>
      <c r="D68" s="4"/>
      <c r="E68" s="4"/>
      <c r="F68" s="4" t="s">
        <v>6</v>
      </c>
      <c r="G68" s="4"/>
      <c r="H68" s="9" t="s">
        <v>4</v>
      </c>
      <c r="I68" s="4"/>
      <c r="J68" s="3" t="s">
        <v>161</v>
      </c>
      <c r="K68" s="4" t="s">
        <v>27</v>
      </c>
      <c r="L68" s="4" t="e">
        <f t="shared" si="2"/>
        <v>#REF!</v>
      </c>
      <c r="M68" s="4" t="e">
        <f>VLOOKUP($A68,#REF!,4,FALSE)</f>
        <v>#REF!</v>
      </c>
      <c r="N68" s="4" t="e">
        <f>LEFT(VLOOKUP($A68,#REF!,5,FALSE),FIND(" &lt;",VLOOKUP($A68,#REF!,5,FALSE)))</f>
        <v>#REF!</v>
      </c>
    </row>
    <row r="69" spans="1:14" x14ac:dyDescent="0.3">
      <c r="A69" s="4">
        <v>1521930</v>
      </c>
      <c r="B69" s="4" t="s">
        <v>162</v>
      </c>
      <c r="C69" s="29" t="s">
        <v>163</v>
      </c>
      <c r="D69" s="4"/>
      <c r="E69" s="4"/>
      <c r="F69" s="4" t="s">
        <v>6</v>
      </c>
      <c r="G69" s="4"/>
      <c r="H69" s="9" t="s">
        <v>4</v>
      </c>
      <c r="I69" s="4"/>
      <c r="J69" s="3"/>
      <c r="K69" s="4" t="s">
        <v>23</v>
      </c>
      <c r="L69" s="4" t="e">
        <f t="shared" si="2"/>
        <v>#REF!</v>
      </c>
      <c r="M69" s="4" t="e">
        <f>VLOOKUP($A69,#REF!,4,FALSE)</f>
        <v>#REF!</v>
      </c>
      <c r="N69" s="4" t="e">
        <f>LEFT(VLOOKUP($A69,#REF!,5,FALSE),FIND(" &lt;",VLOOKUP($A69,#REF!,5,FALSE)))</f>
        <v>#REF!</v>
      </c>
    </row>
    <row r="70" spans="1:14" x14ac:dyDescent="0.3">
      <c r="A70" s="4">
        <v>1522081</v>
      </c>
      <c r="B70" s="4" t="s">
        <v>164</v>
      </c>
      <c r="C70" s="29" t="s">
        <v>165</v>
      </c>
      <c r="D70" s="4"/>
      <c r="E70" s="4"/>
      <c r="F70" s="4" t="s">
        <v>6</v>
      </c>
      <c r="G70" s="4"/>
      <c r="H70" s="9" t="s">
        <v>4</v>
      </c>
      <c r="I70" s="4"/>
      <c r="J70" s="3"/>
      <c r="K70" s="4" t="s">
        <v>27</v>
      </c>
      <c r="L70" s="4" t="e">
        <f t="shared" si="2"/>
        <v>#REF!</v>
      </c>
      <c r="M70" s="4" t="e">
        <f>VLOOKUP($A70,#REF!,4,FALSE)</f>
        <v>#REF!</v>
      </c>
      <c r="N70" s="4" t="e">
        <f>LEFT(VLOOKUP($A70,#REF!,5,FALSE),FIND(" &lt;",VLOOKUP($A70,#REF!,5,FALSE)))</f>
        <v>#REF!</v>
      </c>
    </row>
    <row r="71" spans="1:14" x14ac:dyDescent="0.3">
      <c r="A71" s="4">
        <v>1522082</v>
      </c>
      <c r="B71" s="4" t="s">
        <v>166</v>
      </c>
      <c r="C71" s="29" t="s">
        <v>167</v>
      </c>
      <c r="D71" s="4"/>
      <c r="E71" s="4"/>
      <c r="F71" s="4" t="s">
        <v>6</v>
      </c>
      <c r="G71" s="4"/>
      <c r="H71" s="9" t="s">
        <v>4</v>
      </c>
      <c r="I71" s="4"/>
      <c r="J71" s="3"/>
      <c r="K71" s="4" t="s">
        <v>23</v>
      </c>
      <c r="L71" s="4" t="e">
        <f t="shared" si="2"/>
        <v>#REF!</v>
      </c>
      <c r="M71" s="4" t="e">
        <f>VLOOKUP($A71,#REF!,4,FALSE)</f>
        <v>#REF!</v>
      </c>
      <c r="N71" s="4" t="e">
        <f>LEFT(VLOOKUP($A71,#REF!,5,FALSE),FIND(" &lt;",VLOOKUP($A71,#REF!,5,FALSE)))</f>
        <v>#REF!</v>
      </c>
    </row>
    <row r="72" spans="1:14" ht="28.8" x14ac:dyDescent="0.3">
      <c r="A72" s="4">
        <v>1522083</v>
      </c>
      <c r="B72" s="4" t="s">
        <v>168</v>
      </c>
      <c r="C72" s="29" t="s">
        <v>169</v>
      </c>
      <c r="D72" s="4"/>
      <c r="E72" s="4"/>
      <c r="F72" s="4" t="s">
        <v>6</v>
      </c>
      <c r="G72" s="4" t="s">
        <v>5</v>
      </c>
      <c r="H72" s="9" t="s">
        <v>4</v>
      </c>
      <c r="I72" s="4"/>
      <c r="J72" s="3" t="s">
        <v>170</v>
      </c>
      <c r="K72" s="4" t="s">
        <v>27</v>
      </c>
      <c r="L72" s="4" t="e">
        <f t="shared" si="2"/>
        <v>#REF!</v>
      </c>
      <c r="M72" s="4" t="e">
        <f>VLOOKUP($A72,#REF!,4,FALSE)</f>
        <v>#REF!</v>
      </c>
      <c r="N72" s="4" t="e">
        <f>LEFT(VLOOKUP($A72,#REF!,5,FALSE),FIND(" &lt;",VLOOKUP($A72,#REF!,5,FALSE)))</f>
        <v>#REF!</v>
      </c>
    </row>
    <row r="73" spans="1:14" x14ac:dyDescent="0.3">
      <c r="A73" s="4">
        <v>1522085</v>
      </c>
      <c r="B73" s="4" t="s">
        <v>171</v>
      </c>
      <c r="C73" s="29" t="s">
        <v>172</v>
      </c>
      <c r="D73" s="4"/>
      <c r="E73" s="4"/>
      <c r="F73" s="4" t="s">
        <v>6</v>
      </c>
      <c r="G73" s="4" t="s">
        <v>5</v>
      </c>
      <c r="H73" s="9" t="s">
        <v>4</v>
      </c>
      <c r="I73" s="9" t="s">
        <v>99</v>
      </c>
      <c r="J73" s="3" t="s">
        <v>36</v>
      </c>
      <c r="K73" s="4" t="s">
        <v>27</v>
      </c>
      <c r="L73" s="4" t="e">
        <f t="shared" si="2"/>
        <v>#REF!</v>
      </c>
      <c r="M73" s="4" t="e">
        <f>VLOOKUP($A73,#REF!,4,FALSE)</f>
        <v>#REF!</v>
      </c>
      <c r="N73" s="4" t="e">
        <f>LEFT(VLOOKUP($A73,#REF!,5,FALSE),FIND(" &lt;",VLOOKUP($A73,#REF!,5,FALSE)))</f>
        <v>#REF!</v>
      </c>
    </row>
    <row r="74" spans="1:14" x14ac:dyDescent="0.3">
      <c r="A74" s="4">
        <v>1522094</v>
      </c>
      <c r="B74" s="4" t="s">
        <v>173</v>
      </c>
      <c r="C74" s="29" t="s">
        <v>174</v>
      </c>
      <c r="D74" s="4"/>
      <c r="E74" s="4"/>
      <c r="F74" s="4" t="s">
        <v>6</v>
      </c>
      <c r="G74" s="4" t="s">
        <v>5</v>
      </c>
      <c r="H74" s="9" t="s">
        <v>4</v>
      </c>
      <c r="I74" s="4"/>
      <c r="J74" s="3" t="s">
        <v>36</v>
      </c>
      <c r="K74" s="4" t="s">
        <v>27</v>
      </c>
      <c r="L74" s="4" t="e">
        <f t="shared" si="2"/>
        <v>#REF!</v>
      </c>
      <c r="M74" s="4" t="e">
        <f>VLOOKUP($A74,#REF!,4,FALSE)</f>
        <v>#REF!</v>
      </c>
      <c r="N74" s="4" t="e">
        <f>LEFT(VLOOKUP($A74,#REF!,5,FALSE),FIND(" &lt;",VLOOKUP($A74,#REF!,5,FALSE)))</f>
        <v>#REF!</v>
      </c>
    </row>
    <row r="75" spans="1:14" x14ac:dyDescent="0.3">
      <c r="A75" s="17">
        <v>1528136</v>
      </c>
      <c r="B75" s="4"/>
      <c r="C75" s="29" t="s">
        <v>175</v>
      </c>
      <c r="D75" s="4"/>
      <c r="E75" s="4"/>
      <c r="F75" s="4" t="s">
        <v>6</v>
      </c>
      <c r="G75" s="4"/>
      <c r="H75" s="9" t="s">
        <v>4</v>
      </c>
      <c r="I75" s="4"/>
      <c r="J75" s="3"/>
      <c r="K75" s="4" t="s">
        <v>27</v>
      </c>
      <c r="L75" s="4" t="e">
        <f t="shared" si="2"/>
        <v>#REF!</v>
      </c>
      <c r="M75" s="4" t="e">
        <f>VLOOKUP($A75,#REF!,4,FALSE)</f>
        <v>#REF!</v>
      </c>
      <c r="N75" s="4" t="e">
        <f>LEFT(VLOOKUP($A75,#REF!,5,FALSE),FIND(" &lt;",VLOOKUP($A75,#REF!,5,FALSE)))</f>
        <v>#REF!</v>
      </c>
    </row>
    <row r="76" spans="1:14" x14ac:dyDescent="0.3">
      <c r="A76" s="17">
        <v>1528235</v>
      </c>
      <c r="B76" s="4"/>
      <c r="C76" s="29" t="s">
        <v>176</v>
      </c>
      <c r="D76" s="4"/>
      <c r="E76" s="4"/>
      <c r="F76" s="4" t="s">
        <v>6</v>
      </c>
      <c r="G76" s="4"/>
      <c r="H76" s="9" t="s">
        <v>4</v>
      </c>
      <c r="I76" s="4"/>
      <c r="J76" s="3"/>
      <c r="K76" s="4" t="s">
        <v>27</v>
      </c>
      <c r="L76" s="4" t="e">
        <f t="shared" si="2"/>
        <v>#REF!</v>
      </c>
      <c r="M76" s="4" t="e">
        <f>VLOOKUP($A76,#REF!,4,FALSE)</f>
        <v>#REF!</v>
      </c>
      <c r="N76" s="4" t="e">
        <f>LEFT(VLOOKUP($A76,#REF!,5,FALSE),FIND(" &lt;",VLOOKUP($A76,#REF!,5,FALSE)))</f>
        <v>#REF!</v>
      </c>
    </row>
    <row r="77" spans="1:14" ht="57.6" x14ac:dyDescent="0.3">
      <c r="A77" s="17">
        <v>1528636</v>
      </c>
      <c r="B77" s="4"/>
      <c r="C77" s="29" t="s">
        <v>177</v>
      </c>
      <c r="D77" s="4"/>
      <c r="E77" s="4"/>
      <c r="F77" s="4" t="s">
        <v>6</v>
      </c>
      <c r="G77" s="4"/>
      <c r="H77" s="9" t="s">
        <v>4</v>
      </c>
      <c r="I77" s="4"/>
      <c r="J77" s="3" t="s">
        <v>178</v>
      </c>
      <c r="K77" s="4" t="s">
        <v>23</v>
      </c>
      <c r="L77" s="4" t="e">
        <f t="shared" si="2"/>
        <v>#REF!</v>
      </c>
      <c r="M77" s="4" t="e">
        <f>VLOOKUP($A77,#REF!,4,FALSE)</f>
        <v>#REF!</v>
      </c>
      <c r="N77" s="4" t="e">
        <f>LEFT(VLOOKUP($A77,#REF!,5,FALSE),FIND(" &lt;",VLOOKUP($A77,#REF!,5,FALSE)))</f>
        <v>#REF!</v>
      </c>
    </row>
    <row r="78" spans="1:14" x14ac:dyDescent="0.3">
      <c r="A78" s="17">
        <v>1531300</v>
      </c>
      <c r="B78" s="20" t="s">
        <v>179</v>
      </c>
      <c r="C78" s="29" t="s">
        <v>179</v>
      </c>
      <c r="D78" s="1"/>
      <c r="E78" s="1"/>
      <c r="F78" s="4" t="s">
        <v>6</v>
      </c>
      <c r="G78" s="1"/>
      <c r="H78" s="9" t="s">
        <v>4</v>
      </c>
      <c r="I78" s="1"/>
      <c r="J78" s="13"/>
      <c r="K78" s="4" t="s">
        <v>40</v>
      </c>
      <c r="L78" s="1"/>
      <c r="M78" s="1"/>
      <c r="N78" s="1"/>
    </row>
    <row r="79" spans="1:14" x14ac:dyDescent="0.3">
      <c r="A79" s="17">
        <v>1531353</v>
      </c>
      <c r="B79" s="20" t="s">
        <v>180</v>
      </c>
      <c r="C79" s="29" t="s">
        <v>180</v>
      </c>
      <c r="D79" s="1"/>
      <c r="E79" s="1"/>
      <c r="F79" s="4" t="s">
        <v>6</v>
      </c>
      <c r="G79" s="1"/>
      <c r="H79" s="9" t="s">
        <v>4</v>
      </c>
      <c r="I79" s="1"/>
      <c r="J79" s="13"/>
      <c r="K79" s="4" t="s">
        <v>23</v>
      </c>
      <c r="L79" s="1"/>
      <c r="M79" s="1"/>
      <c r="N79" s="1"/>
    </row>
    <row r="80" spans="1:14" x14ac:dyDescent="0.3">
      <c r="A80" s="17">
        <v>1531357</v>
      </c>
      <c r="B80" s="20" t="s">
        <v>181</v>
      </c>
      <c r="C80" s="29" t="s">
        <v>181</v>
      </c>
      <c r="D80" s="1"/>
      <c r="E80" s="1"/>
      <c r="F80" s="4" t="s">
        <v>6</v>
      </c>
      <c r="G80" s="1"/>
      <c r="H80" s="9" t="s">
        <v>4</v>
      </c>
      <c r="I80" s="1"/>
      <c r="J80" s="13"/>
      <c r="K80" s="4" t="s">
        <v>23</v>
      </c>
      <c r="L80" s="1"/>
      <c r="M80" s="1"/>
      <c r="N80" s="1"/>
    </row>
    <row r="81" spans="1:14" x14ac:dyDescent="0.3">
      <c r="A81" s="17">
        <v>1531362</v>
      </c>
      <c r="B81" s="20" t="s">
        <v>182</v>
      </c>
      <c r="C81" s="29" t="s">
        <v>182</v>
      </c>
      <c r="D81" s="1"/>
      <c r="E81" s="1"/>
      <c r="F81" s="4" t="s">
        <v>6</v>
      </c>
      <c r="G81" s="1"/>
      <c r="H81" s="9" t="s">
        <v>4</v>
      </c>
      <c r="I81" s="1"/>
      <c r="J81" s="13"/>
      <c r="K81" s="4" t="s">
        <v>23</v>
      </c>
      <c r="L81" s="1"/>
      <c r="M81" s="1"/>
      <c r="N81" s="1"/>
    </row>
    <row r="82" spans="1:14" x14ac:dyDescent="0.3">
      <c r="A82" s="17">
        <v>1531367</v>
      </c>
      <c r="B82" s="20" t="s">
        <v>183</v>
      </c>
      <c r="C82" s="29" t="s">
        <v>183</v>
      </c>
      <c r="D82" s="1"/>
      <c r="E82" s="1"/>
      <c r="F82" s="4" t="s">
        <v>6</v>
      </c>
      <c r="G82" s="1"/>
      <c r="H82" s="9" t="s">
        <v>4</v>
      </c>
      <c r="I82" s="1"/>
      <c r="J82" s="1"/>
      <c r="K82" s="4" t="s">
        <v>40</v>
      </c>
      <c r="L82" s="1"/>
      <c r="M82" s="1"/>
      <c r="N82" s="1"/>
    </row>
    <row r="83" spans="1:14" x14ac:dyDescent="0.3">
      <c r="A83" s="17">
        <v>1531695</v>
      </c>
      <c r="B83" s="20" t="s">
        <v>184</v>
      </c>
      <c r="C83" s="29" t="s">
        <v>184</v>
      </c>
      <c r="D83" s="1"/>
      <c r="E83" s="1"/>
      <c r="F83" s="4" t="s">
        <v>37</v>
      </c>
      <c r="G83" s="1"/>
      <c r="H83" s="9" t="s">
        <v>4</v>
      </c>
      <c r="I83" s="1"/>
      <c r="J83" s="13"/>
      <c r="K83" s="4" t="s">
        <v>23</v>
      </c>
      <c r="L83" s="1"/>
      <c r="M83" s="1"/>
      <c r="N83" s="1"/>
    </row>
    <row r="84" spans="1:14" x14ac:dyDescent="0.3">
      <c r="A84" s="17">
        <v>1531706</v>
      </c>
      <c r="B84" s="1"/>
      <c r="C84" s="29" t="s">
        <v>185</v>
      </c>
      <c r="D84" s="1"/>
      <c r="E84" s="1"/>
      <c r="F84" s="4" t="s">
        <v>37</v>
      </c>
      <c r="G84" s="1"/>
      <c r="H84" s="9" t="s">
        <v>4</v>
      </c>
      <c r="I84" s="1"/>
      <c r="J84" s="13"/>
      <c r="K84" s="4" t="s">
        <v>27</v>
      </c>
      <c r="L84" s="1"/>
      <c r="M84" s="1"/>
      <c r="N84" s="1"/>
    </row>
    <row r="108" spans="10:11" x14ac:dyDescent="0.3">
      <c r="J108" s="5"/>
      <c r="K108" s="19"/>
    </row>
    <row r="109" spans="10:11" x14ac:dyDescent="0.3">
      <c r="J109" s="5"/>
      <c r="K109" s="19"/>
    </row>
    <row r="110" spans="10:11" x14ac:dyDescent="0.3">
      <c r="J110" s="5"/>
      <c r="K110" s="19"/>
    </row>
    <row r="111" spans="10:11" x14ac:dyDescent="0.3">
      <c r="J111" s="5"/>
      <c r="K111" s="19"/>
    </row>
    <row r="112" spans="10:11" x14ac:dyDescent="0.3">
      <c r="J112" s="5"/>
      <c r="K112" s="19"/>
    </row>
    <row r="113" spans="10:11" x14ac:dyDescent="0.3">
      <c r="J113" s="5"/>
      <c r="K113" s="19"/>
    </row>
  </sheetData>
  <autoFilter ref="A1:N84" xr:uid="{B90E5176-B230-4F18-87FA-88CB68D2BC72}"/>
  <phoneticPr fontId="12" type="noConversion"/>
  <conditionalFormatting sqref="F2:F84">
    <cfRule type="expression" dxfId="23" priority="1">
      <formula>F2="Pending w/ dependecy"</formula>
    </cfRule>
    <cfRule type="expression" dxfId="22" priority="2">
      <formula>F2="No revisado"</formula>
    </cfRule>
    <cfRule type="expression" dxfId="21" priority="3">
      <formula>F2="Si"</formula>
    </cfRule>
    <cfRule type="expression" dxfId="20" priority="4">
      <formula>F2="Reactivado"</formula>
    </cfRule>
  </conditionalFormatting>
  <conditionalFormatting sqref="H2:H84">
    <cfRule type="expression" dxfId="19" priority="10">
      <formula>H2="En marcha"</formula>
    </cfRule>
    <cfRule type="expression" dxfId="18" priority="11">
      <formula>H2="Completado"</formula>
    </cfRule>
    <cfRule type="expression" dxfId="17" priority="12">
      <formula>H2="No Comenzado"</formula>
    </cfRule>
    <cfRule type="expression" dxfId="16" priority="13">
      <formula>H2="Hold"</formula>
    </cfRule>
  </conditionalFormatting>
  <conditionalFormatting sqref="L2:L77">
    <cfRule type="cellIs" dxfId="15" priority="5" operator="equal">
      <formula>"Pending w/ dependency"</formula>
    </cfRule>
    <cfRule type="colorScale" priority="9">
      <colorScale>
        <cfvo type="formula" val="&quot;Si&quot;"/>
        <cfvo type="formula" val="&quot;No&quot;"/>
        <color rgb="FF92D050"/>
        <color rgb="FFFF0000"/>
      </colorScale>
    </cfRule>
  </conditionalFormatting>
  <conditionalFormatting sqref="L2:L107 L114:L1048576">
    <cfRule type="cellIs" dxfId="14" priority="6" operator="equal">
      <formula>"Si"</formula>
    </cfRule>
    <cfRule type="containsText" dxfId="13" priority="7" operator="containsText" text="No">
      <formula>NOT(ISERROR(SEARCH("No",L2)))</formula>
    </cfRule>
    <cfRule type="containsText" dxfId="12" priority="8" operator="containsText" text="Si">
      <formula>NOT(ISERROR(SEARCH("Si",L2)))</formula>
    </cfRule>
  </conditionalFormatting>
  <dataValidations count="2">
    <dataValidation type="list" allowBlank="1" showInputMessage="1" showErrorMessage="1" sqref="F3:F8 F76:F82 F72:F74 F59:F62 F68:F70 F19:F21 F46:F51 F41 F43 F23:F24 F36:F38 F32:F34 F26:F30 F16:F17 F64 F57" xr:uid="{4595C873-6D35-459B-B747-79ED589FED5D}">
      <formula1>$AV$3:$AV$5</formula1>
    </dataValidation>
    <dataValidation type="list" allowBlank="1" showInputMessage="1" showErrorMessage="1" sqref="F2 F83:F84 F75 F65:F67 F71 F44:F45 F58 F63 F52:F56 F22 F42 F39:F40 F35 F31 F25 F18 F9:F15" xr:uid="{16477EDE-7F9F-462C-9F6D-BF8EAA19C16A}">
      <formula1>$AV$3:$AV$6</formula1>
    </dataValidation>
  </dataValidations>
  <hyperlinks>
    <hyperlink ref="B83" r:id="rId1" display="https://worldwidelearning.visualstudio.com/WWL Accessibility/_workitems/edit/1531395" xr:uid="{213A7F83-C30D-48C9-9C87-C74AA48E03B0}"/>
    <hyperlink ref="B82" r:id="rId2" display="https://worldwidelearning.visualstudio.com/WWL Accessibility/_workitems/edit/1531367" xr:uid="{046DA411-841C-40D3-BDF4-7BEF38D334AA}"/>
    <hyperlink ref="B81" r:id="rId3" display="https://worldwidelearning.visualstudio.com/WWL Accessibility/_workitems/edit/1531362" xr:uid="{A5C59207-C015-4576-A92B-472E9F85F950}"/>
    <hyperlink ref="B80" r:id="rId4" display="https://worldwidelearning.visualstudio.com/WWL Accessibility/_workitems/edit/1531357" xr:uid="{8AAD0695-7544-427A-9701-790AB2FA4218}"/>
    <hyperlink ref="B79" r:id="rId5" display="https://worldwidelearning.visualstudio.com/WWL Accessibility/_workitems/edit/1531353" xr:uid="{5ACAC717-1351-4815-9A66-FFBB8F65F37A}"/>
    <hyperlink ref="B78" r:id="rId6" display="https://worldwidelearning.visualstudio.com/WWL Accessibility/_workitems/edit/1531300" xr:uid="{C06018BF-5B01-484C-B58F-549923422565}"/>
  </hyperlinks>
  <pageMargins left="0.7" right="0.7" top="0.75" bottom="0.75" header="0.3" footer="0.3"/>
  <pageSetup orientation="portrait" r:id="rId7"/>
  <drawing r:id="rId8"/>
  <legacyDrawing r:id="rId9"/>
  <extLst>
    <ext xmlns:x14="http://schemas.microsoft.com/office/spreadsheetml/2009/9/main" uri="{CCE6A557-97BC-4b89-ADB6-D9C93CAAB3DF}">
      <x14:dataValidations xmlns:xm="http://schemas.microsoft.com/office/excel/2006/main" count="4">
        <x14:dataValidation type="list" allowBlank="1" showInputMessage="1" showErrorMessage="1" xr:uid="{E3A4C76C-59E5-4514-A69D-927020FAA419}">
          <x14:formula1>
            <xm:f>#REF!</xm:f>
          </x14:formula1>
          <xm:sqref>I2</xm:sqref>
        </x14:dataValidation>
        <x14:dataValidation type="list" allowBlank="1" showInputMessage="1" showErrorMessage="1" xr:uid="{F289AF76-2AE7-41F1-A8F3-8FE6EAF92A72}">
          <x14:formula1>
            <xm:f>#REF!</xm:f>
          </x14:formula1>
          <xm:sqref>L2:L77</xm:sqref>
        </x14:dataValidation>
        <x14:dataValidation type="list" allowBlank="1" showInputMessage="1" showErrorMessage="1" xr:uid="{E09811AA-CC77-42C6-9926-DD30795C431C}">
          <x14:formula1>
            <xm:f>#REF!</xm:f>
          </x14:formula1>
          <xm:sqref>H2:H84</xm:sqref>
        </x14:dataValidation>
        <x14:dataValidation type="list" allowBlank="1" showInputMessage="1" showErrorMessage="1" xr:uid="{7B272B85-BC5E-4DF8-8B08-B855F1F7741D}">
          <x14:formula1>
            <xm:f>#REF!</xm:f>
          </x14:formula1>
          <xm:sqref>G2:G1048576 L108:L113 D78:D83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EED84-9033-4C73-AA10-34F05061163E}">
  <dimension ref="A1:BM113"/>
  <sheetViews>
    <sheetView zoomScaleNormal="100" workbookViewId="0">
      <selection activeCell="B2" sqref="B2"/>
    </sheetView>
  </sheetViews>
  <sheetFormatPr defaultColWidth="8.77734375" defaultRowHeight="14.4" x14ac:dyDescent="0.3"/>
  <cols>
    <col min="1" max="1" width="12" style="5" customWidth="1"/>
    <col min="2" max="2" width="18.21875" customWidth="1"/>
    <col min="3" max="3" width="119.77734375" customWidth="1"/>
    <col min="4" max="4" width="15.44140625" bestFit="1" customWidth="1"/>
    <col min="5" max="5" width="23.5546875" customWidth="1"/>
    <col min="6" max="6" width="23.77734375" bestFit="1" customWidth="1"/>
    <col min="7" max="7" width="13.77734375" bestFit="1" customWidth="1"/>
    <col min="8" max="8" width="22.77734375" bestFit="1" customWidth="1"/>
    <col min="9" max="9" width="160.21875" hidden="1" customWidth="1"/>
    <col min="10" max="10" width="59.21875" style="11" bestFit="1" customWidth="1"/>
    <col min="11" max="11" width="13.77734375" bestFit="1" customWidth="1"/>
    <col min="12" max="12" width="17.21875" customWidth="1"/>
    <col min="13" max="13" width="16.44140625" bestFit="1" customWidth="1"/>
  </cols>
  <sheetData>
    <row r="1" spans="1:65" s="21" customFormat="1" ht="33" customHeight="1" x14ac:dyDescent="0.3">
      <c r="A1" s="2" t="s">
        <v>8</v>
      </c>
      <c r="B1" s="2" t="s">
        <v>9</v>
      </c>
      <c r="C1" s="2" t="s">
        <v>10</v>
      </c>
      <c r="D1" s="2" t="s">
        <v>15</v>
      </c>
      <c r="E1" s="2" t="s">
        <v>11</v>
      </c>
      <c r="F1" s="2" t="s">
        <v>13</v>
      </c>
      <c r="G1" s="2" t="s">
        <v>0</v>
      </c>
      <c r="H1" s="2" t="s">
        <v>1</v>
      </c>
      <c r="I1" s="2" t="s">
        <v>14</v>
      </c>
      <c r="J1" s="2" t="s">
        <v>2</v>
      </c>
      <c r="K1" s="15" t="s">
        <v>16</v>
      </c>
      <c r="L1" s="15" t="s">
        <v>17</v>
      </c>
      <c r="M1" s="15" t="s">
        <v>18</v>
      </c>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c r="AU1" s="27"/>
      <c r="AV1" s="27"/>
      <c r="AW1" s="27"/>
      <c r="AX1" s="27"/>
      <c r="AY1" s="27"/>
      <c r="AZ1" s="27"/>
      <c r="BA1" s="27"/>
      <c r="BB1" s="27"/>
      <c r="BC1" s="27"/>
      <c r="BD1" s="27"/>
      <c r="BE1" s="27"/>
      <c r="BF1" s="27"/>
      <c r="BG1" s="27"/>
    </row>
    <row r="2" spans="1:65" ht="28.8" x14ac:dyDescent="0.3">
      <c r="A2" s="26">
        <v>1583715</v>
      </c>
      <c r="B2" s="22" t="s">
        <v>19</v>
      </c>
      <c r="C2" s="25" t="s">
        <v>193</v>
      </c>
      <c r="D2" s="23" t="s">
        <v>23</v>
      </c>
      <c r="E2" s="4" t="s">
        <v>192</v>
      </c>
      <c r="F2" s="4" t="s">
        <v>34</v>
      </c>
      <c r="G2" s="4" t="s">
        <v>5</v>
      </c>
      <c r="H2" s="9" t="s">
        <v>4</v>
      </c>
      <c r="I2" s="4"/>
      <c r="J2" s="3"/>
      <c r="K2" s="4"/>
      <c r="L2" s="4"/>
      <c r="M2" s="4"/>
      <c r="O2" s="16"/>
      <c r="P2" s="16"/>
      <c r="Q2" s="16"/>
      <c r="R2" s="16"/>
      <c r="S2" s="16"/>
      <c r="T2" s="16"/>
      <c r="U2" s="16"/>
      <c r="V2" s="16"/>
      <c r="W2" s="16"/>
      <c r="X2" s="16"/>
      <c r="Y2" s="16"/>
      <c r="Z2" s="16"/>
      <c r="AA2" s="16"/>
      <c r="AB2" s="16"/>
      <c r="AC2" s="16"/>
      <c r="AD2" s="16"/>
      <c r="AE2" s="16"/>
      <c r="AF2" s="16"/>
      <c r="AG2" s="16"/>
      <c r="AH2" s="16"/>
      <c r="AI2" s="16"/>
      <c r="AJ2" s="16"/>
      <c r="AK2" s="16"/>
      <c r="AL2" s="16"/>
      <c r="AM2" s="16"/>
      <c r="AN2" s="16"/>
      <c r="AO2" s="16"/>
      <c r="AP2" s="16"/>
      <c r="AQ2" s="16"/>
      <c r="AR2" s="16"/>
      <c r="AS2" s="16"/>
      <c r="AT2" s="16"/>
      <c r="AU2" s="16"/>
      <c r="AV2" s="16"/>
      <c r="AW2" s="16"/>
      <c r="AX2" s="16"/>
      <c r="AY2" s="16"/>
      <c r="AZ2" s="16"/>
      <c r="BA2" s="16"/>
      <c r="BB2" s="16"/>
      <c r="BC2" s="16"/>
      <c r="BD2" s="16"/>
      <c r="BE2" s="16"/>
      <c r="BF2" s="16"/>
      <c r="BG2" s="16"/>
      <c r="BH2" s="16"/>
      <c r="BI2" s="16"/>
      <c r="BJ2" s="16"/>
      <c r="BK2" s="16"/>
      <c r="BL2" s="16"/>
      <c r="BM2" s="16"/>
    </row>
    <row r="3" spans="1:65" ht="28.8" x14ac:dyDescent="0.3">
      <c r="A3" s="26">
        <v>1583716</v>
      </c>
      <c r="B3" s="22" t="s">
        <v>19</v>
      </c>
      <c r="C3" s="25" t="s">
        <v>194</v>
      </c>
      <c r="D3" s="23" t="s">
        <v>23</v>
      </c>
      <c r="E3" s="4" t="s">
        <v>192</v>
      </c>
      <c r="F3" s="4" t="s">
        <v>34</v>
      </c>
      <c r="G3" s="4" t="s">
        <v>5</v>
      </c>
      <c r="H3" s="9" t="s">
        <v>4</v>
      </c>
      <c r="I3" s="4"/>
      <c r="J3" s="3"/>
      <c r="K3" s="4"/>
      <c r="L3" s="4"/>
      <c r="M3" s="4"/>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t="s">
        <v>6</v>
      </c>
      <c r="AV3" s="16"/>
      <c r="AW3" s="16"/>
      <c r="AX3" s="16"/>
      <c r="AY3" s="16"/>
      <c r="AZ3" s="16"/>
      <c r="BA3" s="16"/>
      <c r="BB3" s="16"/>
      <c r="BC3" s="16"/>
      <c r="BD3" s="16"/>
      <c r="BE3" s="16"/>
      <c r="BF3" s="16"/>
      <c r="BG3" s="16"/>
      <c r="BH3" s="16"/>
      <c r="BI3" s="16"/>
      <c r="BJ3" s="16"/>
      <c r="BK3" s="16"/>
      <c r="BL3" s="16"/>
      <c r="BM3" s="16"/>
    </row>
    <row r="4" spans="1:65" ht="28.8" x14ac:dyDescent="0.3">
      <c r="A4" s="26">
        <v>1583730</v>
      </c>
      <c r="B4" s="22" t="s">
        <v>19</v>
      </c>
      <c r="C4" s="25" t="s">
        <v>195</v>
      </c>
      <c r="D4" s="23" t="s">
        <v>23</v>
      </c>
      <c r="E4" s="4" t="s">
        <v>192</v>
      </c>
      <c r="F4" s="4" t="s">
        <v>34</v>
      </c>
      <c r="G4" s="4" t="s">
        <v>219</v>
      </c>
      <c r="H4" s="9" t="s">
        <v>4</v>
      </c>
      <c r="I4" s="4"/>
      <c r="J4" s="3"/>
      <c r="K4" s="4"/>
      <c r="L4" s="4"/>
      <c r="M4" s="4"/>
      <c r="AU4" s="16" t="s">
        <v>31</v>
      </c>
    </row>
    <row r="5" spans="1:65" x14ac:dyDescent="0.3">
      <c r="A5" s="26">
        <v>1583736</v>
      </c>
      <c r="B5" s="22" t="s">
        <v>19</v>
      </c>
      <c r="C5" s="25" t="s">
        <v>196</v>
      </c>
      <c r="D5" s="23" t="s">
        <v>23</v>
      </c>
      <c r="E5" s="4" t="s">
        <v>192</v>
      </c>
      <c r="F5" s="4" t="s">
        <v>34</v>
      </c>
      <c r="G5" s="4" t="s">
        <v>3</v>
      </c>
      <c r="H5" s="9" t="s">
        <v>4</v>
      </c>
      <c r="I5" s="4"/>
      <c r="J5" s="3"/>
      <c r="K5" s="4"/>
      <c r="L5" s="4"/>
      <c r="M5" s="4"/>
      <c r="AU5" s="16" t="s">
        <v>34</v>
      </c>
    </row>
    <row r="6" spans="1:65" ht="28.8" x14ac:dyDescent="0.3">
      <c r="A6" s="26">
        <v>1583773</v>
      </c>
      <c r="B6" s="22" t="s">
        <v>19</v>
      </c>
      <c r="C6" s="25" t="s">
        <v>197</v>
      </c>
      <c r="D6" s="23" t="s">
        <v>23</v>
      </c>
      <c r="E6" s="4" t="s">
        <v>192</v>
      </c>
      <c r="F6" s="4" t="s">
        <v>34</v>
      </c>
      <c r="G6" s="4" t="s">
        <v>5</v>
      </c>
      <c r="H6" s="9" t="s">
        <v>4</v>
      </c>
      <c r="I6" s="4"/>
      <c r="J6" s="3"/>
      <c r="K6" s="4"/>
      <c r="L6" s="4"/>
      <c r="M6" s="4"/>
      <c r="AU6" s="16" t="s">
        <v>37</v>
      </c>
    </row>
    <row r="7" spans="1:65" ht="28.8" x14ac:dyDescent="0.3">
      <c r="A7" s="28">
        <v>1583659</v>
      </c>
      <c r="B7" s="22" t="s">
        <v>19</v>
      </c>
      <c r="C7" s="25" t="s">
        <v>198</v>
      </c>
      <c r="D7" s="23" t="s">
        <v>23</v>
      </c>
      <c r="E7" s="4" t="s">
        <v>192</v>
      </c>
      <c r="F7" s="4" t="s">
        <v>34</v>
      </c>
      <c r="G7" s="4" t="s">
        <v>5</v>
      </c>
      <c r="H7" s="9" t="s">
        <v>4</v>
      </c>
      <c r="I7" s="4"/>
      <c r="J7" s="3"/>
      <c r="K7" s="4"/>
      <c r="L7" s="4"/>
      <c r="M7" s="4"/>
      <c r="O7" s="16"/>
      <c r="P7" s="16"/>
      <c r="Q7" s="16"/>
      <c r="R7" s="16"/>
      <c r="S7" s="16"/>
      <c r="T7" s="16"/>
      <c r="U7" s="16"/>
      <c r="V7" s="16"/>
      <c r="W7" s="16"/>
      <c r="X7" s="16"/>
      <c r="Y7" s="16"/>
      <c r="Z7" s="16"/>
      <c r="AA7" s="16"/>
      <c r="AB7" s="16"/>
      <c r="AC7" s="16"/>
      <c r="AD7" s="16"/>
      <c r="AE7" s="16"/>
      <c r="AF7" s="16"/>
      <c r="AG7" s="16"/>
      <c r="AH7" s="16"/>
      <c r="AI7" s="16"/>
      <c r="AJ7" s="16"/>
      <c r="AK7" s="16"/>
      <c r="AL7" s="16"/>
      <c r="AM7" s="16"/>
      <c r="AN7" s="16"/>
      <c r="AO7" s="16"/>
      <c r="AP7" s="16"/>
      <c r="AQ7" s="16"/>
      <c r="AR7" s="16"/>
      <c r="AS7" s="16"/>
      <c r="AT7" s="16"/>
      <c r="AU7" s="16"/>
      <c r="AV7" s="16"/>
      <c r="AW7" s="16"/>
      <c r="AX7" s="16"/>
      <c r="AY7" s="16"/>
      <c r="AZ7" s="16"/>
      <c r="BA7" s="16"/>
      <c r="BB7" s="16"/>
      <c r="BC7" s="16"/>
      <c r="BD7" s="16"/>
      <c r="BE7" s="16"/>
      <c r="BF7" s="16"/>
      <c r="BG7" s="16"/>
      <c r="BH7" s="16"/>
      <c r="BI7" s="16"/>
      <c r="BJ7" s="16"/>
      <c r="BK7" s="16"/>
      <c r="BL7" s="16"/>
      <c r="BM7" s="16"/>
    </row>
    <row r="8" spans="1:65" x14ac:dyDescent="0.3">
      <c r="A8" s="26">
        <v>1583709</v>
      </c>
      <c r="B8" s="22" t="s">
        <v>19</v>
      </c>
      <c r="C8" s="25" t="s">
        <v>199</v>
      </c>
      <c r="D8" s="23" t="s">
        <v>23</v>
      </c>
      <c r="E8" s="4" t="s">
        <v>192</v>
      </c>
      <c r="F8" s="4" t="s">
        <v>34</v>
      </c>
      <c r="G8" s="4" t="s">
        <v>5</v>
      </c>
      <c r="H8" s="9" t="s">
        <v>4</v>
      </c>
      <c r="I8" s="4"/>
      <c r="J8" s="10"/>
      <c r="K8" s="4"/>
      <c r="L8" s="4"/>
      <c r="M8" s="4"/>
    </row>
    <row r="9" spans="1:65" ht="28.8" x14ac:dyDescent="0.3">
      <c r="A9" s="26">
        <v>1583793</v>
      </c>
      <c r="B9" s="22" t="s">
        <v>19</v>
      </c>
      <c r="C9" s="25" t="s">
        <v>200</v>
      </c>
      <c r="D9" s="23" t="s">
        <v>23</v>
      </c>
      <c r="E9" s="4" t="s">
        <v>192</v>
      </c>
      <c r="F9" s="4" t="s">
        <v>34</v>
      </c>
      <c r="G9" s="4" t="s">
        <v>219</v>
      </c>
      <c r="H9" s="9" t="s">
        <v>4</v>
      </c>
      <c r="I9" s="4"/>
      <c r="J9" s="10"/>
      <c r="K9" s="4"/>
      <c r="L9" s="4"/>
      <c r="M9" s="4"/>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row>
    <row r="10" spans="1:65" ht="28.8" x14ac:dyDescent="0.3">
      <c r="A10" s="26">
        <v>1583797</v>
      </c>
      <c r="B10" s="22" t="s">
        <v>19</v>
      </c>
      <c r="C10" s="25" t="s">
        <v>201</v>
      </c>
      <c r="D10" s="23" t="s">
        <v>23</v>
      </c>
      <c r="E10" s="4" t="s">
        <v>192</v>
      </c>
      <c r="F10" s="4" t="s">
        <v>34</v>
      </c>
      <c r="G10" s="4" t="s">
        <v>219</v>
      </c>
      <c r="H10" s="9" t="s">
        <v>4</v>
      </c>
      <c r="I10" s="4"/>
      <c r="J10" s="3"/>
      <c r="K10" s="4"/>
      <c r="L10" s="4"/>
      <c r="M10" s="4"/>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row>
    <row r="11" spans="1:65" x14ac:dyDescent="0.3">
      <c r="A11" s="26">
        <v>1583809</v>
      </c>
      <c r="B11" s="22" t="s">
        <v>19</v>
      </c>
      <c r="C11" s="25" t="s">
        <v>202</v>
      </c>
      <c r="D11" s="23" t="s">
        <v>27</v>
      </c>
      <c r="E11" s="4" t="s">
        <v>192</v>
      </c>
      <c r="F11" s="4" t="s">
        <v>34</v>
      </c>
      <c r="G11" s="4" t="s">
        <v>3</v>
      </c>
      <c r="H11" s="9" t="s">
        <v>4</v>
      </c>
      <c r="I11" s="4"/>
      <c r="J11" s="3"/>
      <c r="K11" s="4"/>
      <c r="L11" s="4"/>
      <c r="M11" s="4"/>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row>
    <row r="12" spans="1:65" ht="28.8" x14ac:dyDescent="0.3">
      <c r="A12" s="26">
        <v>1583714</v>
      </c>
      <c r="B12" s="22" t="s">
        <v>19</v>
      </c>
      <c r="C12" s="25" t="s">
        <v>203</v>
      </c>
      <c r="D12" s="23" t="s">
        <v>27</v>
      </c>
      <c r="E12" s="4" t="s">
        <v>192</v>
      </c>
      <c r="F12" s="4" t="s">
        <v>34</v>
      </c>
      <c r="G12" s="4" t="s">
        <v>5</v>
      </c>
      <c r="H12" s="9" t="s">
        <v>4</v>
      </c>
      <c r="I12" s="4"/>
      <c r="J12" s="3"/>
      <c r="K12" s="4"/>
      <c r="L12" s="4"/>
      <c r="M12" s="4"/>
      <c r="O12" s="16"/>
      <c r="P12" s="16"/>
      <c r="Q12" s="16"/>
      <c r="R12" s="16"/>
      <c r="S12" s="16"/>
      <c r="T12" s="16"/>
      <c r="U12" s="16"/>
      <c r="V12" s="16"/>
      <c r="W12" s="16"/>
      <c r="X12" s="16"/>
      <c r="Y12" s="16"/>
      <c r="Z12" s="16"/>
      <c r="AA12" s="16"/>
      <c r="AB12" s="16"/>
      <c r="AC12" s="16"/>
      <c r="AD12" s="16"/>
      <c r="AE12" s="16"/>
      <c r="AF12" s="16"/>
      <c r="AG12" s="16"/>
      <c r="AH12" s="16"/>
      <c r="AI12" s="16"/>
      <c r="AJ12" s="16"/>
      <c r="AK12" s="16"/>
      <c r="AL12" s="16"/>
      <c r="AM12" s="16"/>
      <c r="AN12" s="16"/>
      <c r="AO12" s="16"/>
      <c r="AP12" s="16"/>
      <c r="AQ12" s="16"/>
      <c r="AR12" s="16"/>
      <c r="AS12" s="16"/>
      <c r="AT12" s="16"/>
      <c r="AU12" s="16"/>
      <c r="AV12" s="16"/>
      <c r="AW12" s="16"/>
      <c r="AX12" s="16"/>
      <c r="AY12" s="16"/>
      <c r="AZ12" s="16"/>
      <c r="BA12" s="16"/>
      <c r="BB12" s="16"/>
      <c r="BC12" s="16"/>
      <c r="BD12" s="16"/>
      <c r="BE12" s="16"/>
      <c r="BF12" s="16"/>
      <c r="BG12" s="16"/>
      <c r="BH12" s="16"/>
      <c r="BI12" s="16"/>
      <c r="BJ12" s="16"/>
      <c r="BK12" s="16"/>
      <c r="BL12" s="16"/>
      <c r="BM12" s="16"/>
    </row>
    <row r="13" spans="1:65" ht="28.8" x14ac:dyDescent="0.3">
      <c r="A13" s="26">
        <v>1583776</v>
      </c>
      <c r="B13" s="22" t="s">
        <v>19</v>
      </c>
      <c r="C13" s="25" t="s">
        <v>204</v>
      </c>
      <c r="D13" s="23" t="s">
        <v>27</v>
      </c>
      <c r="E13" s="4" t="s">
        <v>192</v>
      </c>
      <c r="F13" s="4" t="s">
        <v>34</v>
      </c>
      <c r="G13" s="4" t="s">
        <v>5</v>
      </c>
      <c r="H13" s="9" t="s">
        <v>4</v>
      </c>
      <c r="I13" s="4"/>
      <c r="J13" s="3"/>
      <c r="K13" s="4"/>
      <c r="L13" s="4"/>
      <c r="M13" s="4"/>
    </row>
    <row r="14" spans="1:65" ht="28.8" x14ac:dyDescent="0.3">
      <c r="A14" s="26">
        <v>1583778</v>
      </c>
      <c r="B14" s="22" t="s">
        <v>19</v>
      </c>
      <c r="C14" s="25" t="s">
        <v>205</v>
      </c>
      <c r="D14" s="23" t="s">
        <v>27</v>
      </c>
      <c r="E14" s="4" t="s">
        <v>192</v>
      </c>
      <c r="F14" s="4" t="s">
        <v>34</v>
      </c>
      <c r="G14" s="4" t="s">
        <v>3</v>
      </c>
      <c r="H14" s="9" t="s">
        <v>4</v>
      </c>
      <c r="I14" s="4"/>
      <c r="J14" s="3"/>
      <c r="K14" s="4"/>
      <c r="L14" s="4"/>
      <c r="M14" s="4"/>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6"/>
      <c r="BJ14" s="16"/>
      <c r="BK14" s="16"/>
      <c r="BL14" s="16"/>
      <c r="BM14" s="16"/>
    </row>
    <row r="15" spans="1:65" ht="28.8" x14ac:dyDescent="0.3">
      <c r="A15" s="26">
        <v>1583783</v>
      </c>
      <c r="B15" s="22" t="s">
        <v>19</v>
      </c>
      <c r="C15" s="25" t="s">
        <v>206</v>
      </c>
      <c r="D15" s="23" t="s">
        <v>27</v>
      </c>
      <c r="E15" s="4" t="s">
        <v>192</v>
      </c>
      <c r="F15" s="4" t="s">
        <v>34</v>
      </c>
      <c r="G15" s="4" t="s">
        <v>5</v>
      </c>
      <c r="H15" s="9" t="s">
        <v>4</v>
      </c>
      <c r="I15" s="4"/>
      <c r="J15" s="3"/>
      <c r="K15" s="4"/>
      <c r="L15" s="4"/>
      <c r="M15" s="4"/>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L15" s="16"/>
      <c r="BM15" s="16"/>
    </row>
    <row r="16" spans="1:65" x14ac:dyDescent="0.3">
      <c r="A16" s="26">
        <v>1583748</v>
      </c>
      <c r="B16" s="4" t="s">
        <v>19</v>
      </c>
      <c r="C16" s="24" t="s">
        <v>207</v>
      </c>
      <c r="D16" s="23" t="s">
        <v>27</v>
      </c>
      <c r="E16" s="4" t="s">
        <v>192</v>
      </c>
      <c r="F16" s="4" t="s">
        <v>34</v>
      </c>
      <c r="G16" s="4" t="s">
        <v>219</v>
      </c>
      <c r="H16" s="9" t="s">
        <v>7</v>
      </c>
      <c r="I16" s="4"/>
      <c r="J16" s="12" t="s">
        <v>218</v>
      </c>
      <c r="K16" s="4"/>
      <c r="L16" s="4"/>
      <c r="M16" s="4"/>
      <c r="N16" s="16"/>
      <c r="O16" s="16"/>
      <c r="P16" s="16"/>
      <c r="Q16" s="16"/>
      <c r="R16" s="16"/>
      <c r="S16" s="16"/>
      <c r="T16" s="16"/>
      <c r="U16" s="16"/>
      <c r="V16" s="16"/>
      <c r="W16" s="16"/>
      <c r="X16" s="16"/>
      <c r="Y16" s="16"/>
      <c r="Z16" s="16"/>
      <c r="AA16" s="16"/>
      <c r="AB16" s="16"/>
      <c r="AC16" s="16"/>
      <c r="AD16" s="16"/>
      <c r="AE16" s="16"/>
      <c r="AF16" s="16"/>
      <c r="AG16" s="16"/>
      <c r="AH16" s="16"/>
      <c r="AI16" s="16"/>
      <c r="AJ16" s="16"/>
      <c r="AK16" s="16"/>
      <c r="AL16" s="16"/>
      <c r="AM16" s="16"/>
      <c r="AN16" s="16"/>
      <c r="AO16" s="16"/>
      <c r="AP16" s="16"/>
      <c r="AQ16" s="16"/>
      <c r="AR16" s="16"/>
      <c r="AS16" s="16"/>
      <c r="AT16" s="16"/>
      <c r="AU16" s="16"/>
      <c r="AV16" s="16"/>
      <c r="AW16" s="16"/>
      <c r="AX16" s="16"/>
      <c r="AY16" s="16"/>
      <c r="AZ16" s="16"/>
      <c r="BA16" s="16"/>
      <c r="BB16" s="16"/>
      <c r="BC16" s="16"/>
      <c r="BD16" s="16"/>
      <c r="BE16" s="16"/>
      <c r="BF16" s="16"/>
      <c r="BG16" s="16"/>
    </row>
    <row r="17" spans="1:65" ht="28.8" x14ac:dyDescent="0.3">
      <c r="A17" s="26">
        <v>1583767</v>
      </c>
      <c r="B17" s="4" t="s">
        <v>19</v>
      </c>
      <c r="C17" s="24" t="s">
        <v>208</v>
      </c>
      <c r="D17" s="23" t="s">
        <v>27</v>
      </c>
      <c r="E17" s="4" t="s">
        <v>192</v>
      </c>
      <c r="F17" s="4" t="s">
        <v>34</v>
      </c>
      <c r="G17" s="4" t="s">
        <v>5</v>
      </c>
      <c r="H17" s="9" t="s">
        <v>4</v>
      </c>
      <c r="I17" s="4"/>
      <c r="J17" s="3"/>
      <c r="K17" s="4"/>
      <c r="L17" s="4"/>
      <c r="M17" s="4"/>
    </row>
    <row r="18" spans="1:65" x14ac:dyDescent="0.3">
      <c r="A18" s="26">
        <v>1583717</v>
      </c>
      <c r="B18" s="4" t="s">
        <v>19</v>
      </c>
      <c r="C18" s="24" t="s">
        <v>209</v>
      </c>
      <c r="D18" s="23" t="s">
        <v>27</v>
      </c>
      <c r="E18" s="4" t="s">
        <v>192</v>
      </c>
      <c r="F18" s="4" t="s">
        <v>34</v>
      </c>
      <c r="G18" s="4" t="s">
        <v>3</v>
      </c>
      <c r="H18" s="9" t="s">
        <v>4</v>
      </c>
      <c r="I18" s="4"/>
      <c r="J18" s="3"/>
      <c r="K18" s="4"/>
      <c r="L18" s="4"/>
      <c r="M18" s="4"/>
      <c r="O18" s="16"/>
      <c r="P18" s="16"/>
      <c r="Q18" s="16"/>
      <c r="R18" s="16"/>
      <c r="S18" s="16"/>
      <c r="T18" s="16"/>
      <c r="U18" s="16"/>
      <c r="V18" s="16"/>
      <c r="W18" s="16"/>
      <c r="X18" s="16"/>
      <c r="Y18" s="16"/>
      <c r="Z18" s="16"/>
      <c r="AA18" s="16"/>
      <c r="AB18" s="16"/>
      <c r="AC18" s="16"/>
      <c r="AD18" s="16"/>
      <c r="AE18" s="16"/>
      <c r="AF18" s="16"/>
      <c r="AG18" s="16"/>
      <c r="AH18" s="16"/>
      <c r="AI18" s="16"/>
      <c r="AJ18" s="16"/>
      <c r="AK18" s="16"/>
      <c r="AL18" s="16"/>
      <c r="AM18" s="16"/>
      <c r="AN18" s="16"/>
      <c r="AO18" s="16"/>
      <c r="AP18" s="16"/>
      <c r="AQ18" s="16"/>
      <c r="AR18" s="16"/>
      <c r="AS18" s="16"/>
      <c r="AT18" s="16"/>
      <c r="AU18" s="16"/>
      <c r="AV18" s="16"/>
      <c r="AW18" s="16"/>
      <c r="AX18" s="16"/>
      <c r="AY18" s="16"/>
      <c r="AZ18" s="16"/>
      <c r="BA18" s="16"/>
      <c r="BB18" s="16"/>
      <c r="BC18" s="16"/>
      <c r="BD18" s="16"/>
      <c r="BE18" s="16"/>
      <c r="BF18" s="16"/>
      <c r="BG18" s="16"/>
      <c r="BH18" s="16"/>
      <c r="BI18" s="16"/>
      <c r="BJ18" s="16"/>
      <c r="BK18" s="16"/>
      <c r="BL18" s="16"/>
      <c r="BM18" s="16"/>
    </row>
    <row r="19" spans="1:65" ht="28.8" x14ac:dyDescent="0.3">
      <c r="A19" s="26">
        <v>1583719</v>
      </c>
      <c r="B19" s="4" t="s">
        <v>19</v>
      </c>
      <c r="C19" s="24" t="s">
        <v>210</v>
      </c>
      <c r="D19" s="23" t="s">
        <v>27</v>
      </c>
      <c r="E19" s="4" t="s">
        <v>192</v>
      </c>
      <c r="F19" s="4" t="s">
        <v>34</v>
      </c>
      <c r="G19" s="4" t="s">
        <v>219</v>
      </c>
      <c r="H19" s="9" t="s">
        <v>4</v>
      </c>
      <c r="I19" s="4"/>
      <c r="J19" s="3"/>
      <c r="K19" s="4"/>
      <c r="L19" s="4"/>
      <c r="M19" s="4"/>
      <c r="O19" s="16"/>
      <c r="P19" s="16"/>
      <c r="Q19" s="16"/>
      <c r="R19" s="16"/>
      <c r="S19" s="16"/>
      <c r="T19" s="16"/>
      <c r="U19" s="16"/>
      <c r="V19" s="16"/>
      <c r="W19" s="16"/>
      <c r="X19" s="16"/>
      <c r="Y19" s="16"/>
      <c r="Z19" s="16"/>
      <c r="AA19" s="16"/>
      <c r="AB19" s="16"/>
      <c r="AC19" s="16"/>
      <c r="AD19" s="16"/>
      <c r="AE19" s="16"/>
      <c r="AF19" s="16"/>
      <c r="AG19" s="16"/>
      <c r="AH19" s="16"/>
      <c r="AI19" s="16"/>
      <c r="AJ19" s="16"/>
      <c r="AK19" s="16"/>
      <c r="AL19" s="16"/>
      <c r="AM19" s="16"/>
      <c r="AN19" s="16"/>
      <c r="AO19" s="16"/>
      <c r="AP19" s="16"/>
      <c r="AQ19" s="16"/>
      <c r="AR19" s="16"/>
      <c r="AS19" s="16"/>
      <c r="AT19" s="16"/>
      <c r="AU19" s="16"/>
      <c r="AV19" s="16"/>
      <c r="AW19" s="16"/>
      <c r="AX19" s="16"/>
      <c r="AY19" s="16"/>
      <c r="AZ19" s="16"/>
      <c r="BA19" s="16"/>
      <c r="BB19" s="16"/>
      <c r="BC19" s="16"/>
      <c r="BD19" s="16"/>
      <c r="BE19" s="16"/>
      <c r="BF19" s="16"/>
      <c r="BG19" s="16"/>
      <c r="BH19" s="16"/>
      <c r="BI19" s="16"/>
      <c r="BJ19" s="16"/>
      <c r="BK19" s="16"/>
      <c r="BL19" s="16"/>
      <c r="BM19" s="16"/>
    </row>
    <row r="20" spans="1:65" ht="28.8" x14ac:dyDescent="0.3">
      <c r="A20" s="26">
        <v>1583721</v>
      </c>
      <c r="B20" s="4" t="s">
        <v>19</v>
      </c>
      <c r="C20" s="24" t="s">
        <v>211</v>
      </c>
      <c r="D20" s="23" t="s">
        <v>27</v>
      </c>
      <c r="E20" s="4" t="s">
        <v>192</v>
      </c>
      <c r="F20" s="4" t="s">
        <v>34</v>
      </c>
      <c r="G20" s="4" t="s">
        <v>219</v>
      </c>
      <c r="H20" s="9" t="s">
        <v>4</v>
      </c>
      <c r="I20" s="4"/>
      <c r="J20" s="3"/>
      <c r="K20" s="4"/>
      <c r="L20" s="4"/>
      <c r="M20" s="4"/>
    </row>
    <row r="21" spans="1:65" ht="28.8" x14ac:dyDescent="0.3">
      <c r="A21" s="26">
        <v>1583726</v>
      </c>
      <c r="B21" s="4" t="s">
        <v>19</v>
      </c>
      <c r="C21" s="24" t="s">
        <v>212</v>
      </c>
      <c r="D21" s="23" t="s">
        <v>27</v>
      </c>
      <c r="E21" s="4" t="s">
        <v>192</v>
      </c>
      <c r="F21" s="4" t="s">
        <v>34</v>
      </c>
      <c r="G21" s="4" t="s">
        <v>3</v>
      </c>
      <c r="H21" s="9" t="s">
        <v>4</v>
      </c>
      <c r="I21" s="4"/>
      <c r="J21" s="3"/>
      <c r="K21" s="4"/>
      <c r="L21" s="4"/>
      <c r="M21" s="4"/>
    </row>
    <row r="22" spans="1:65" ht="28.8" x14ac:dyDescent="0.3">
      <c r="A22" s="26">
        <v>1583728</v>
      </c>
      <c r="B22" s="4" t="s">
        <v>19</v>
      </c>
      <c r="C22" s="24" t="s">
        <v>213</v>
      </c>
      <c r="D22" s="23" t="s">
        <v>27</v>
      </c>
      <c r="E22" s="4" t="s">
        <v>192</v>
      </c>
      <c r="F22" s="4" t="s">
        <v>34</v>
      </c>
      <c r="G22" s="4" t="s">
        <v>3</v>
      </c>
      <c r="H22" s="9" t="s">
        <v>4</v>
      </c>
      <c r="I22" s="4"/>
      <c r="J22" s="3"/>
      <c r="K22" s="4"/>
      <c r="L22" s="4"/>
      <c r="M22" s="4"/>
      <c r="O22" s="16"/>
      <c r="P22" s="16"/>
      <c r="Q22" s="16"/>
      <c r="R22" s="16"/>
      <c r="S22" s="16"/>
      <c r="T22" s="16"/>
      <c r="U22" s="16"/>
      <c r="V22" s="16"/>
      <c r="W22" s="16"/>
      <c r="X22" s="16"/>
      <c r="Y22" s="16"/>
      <c r="Z22" s="16"/>
      <c r="AA22" s="16"/>
      <c r="AB22" s="16"/>
      <c r="AC22" s="16"/>
      <c r="AD22" s="16"/>
      <c r="AE22" s="16"/>
      <c r="AF22" s="16"/>
      <c r="AG22" s="16"/>
      <c r="AH22" s="16"/>
      <c r="AI22" s="16"/>
      <c r="AJ22" s="16"/>
      <c r="AK22" s="16"/>
      <c r="AL22" s="16"/>
      <c r="AM22" s="16"/>
      <c r="AN22" s="16"/>
      <c r="AO22" s="16"/>
      <c r="AP22" s="16"/>
      <c r="AQ22" s="16"/>
      <c r="AR22" s="16"/>
      <c r="AS22" s="16"/>
      <c r="AT22" s="16"/>
      <c r="AU22" s="16"/>
      <c r="AV22" s="16"/>
      <c r="AW22" s="16"/>
      <c r="AX22" s="16"/>
      <c r="AY22" s="16"/>
      <c r="AZ22" s="16"/>
      <c r="BA22" s="16"/>
      <c r="BB22" s="16"/>
      <c r="BC22" s="16"/>
      <c r="BD22" s="16"/>
      <c r="BE22" s="16"/>
      <c r="BF22" s="16"/>
      <c r="BG22" s="16"/>
      <c r="BH22" s="16"/>
      <c r="BI22" s="16"/>
      <c r="BJ22" s="16"/>
      <c r="BK22" s="16"/>
      <c r="BL22" s="16"/>
      <c r="BM22" s="16"/>
    </row>
    <row r="23" spans="1:65" ht="28.8" x14ac:dyDescent="0.3">
      <c r="A23" s="26">
        <v>1583729</v>
      </c>
      <c r="B23" s="4" t="s">
        <v>19</v>
      </c>
      <c r="C23" s="24" t="s">
        <v>214</v>
      </c>
      <c r="D23" s="23" t="s">
        <v>27</v>
      </c>
      <c r="E23" s="4" t="s">
        <v>192</v>
      </c>
      <c r="F23" s="4" t="s">
        <v>34</v>
      </c>
      <c r="G23" s="4" t="s">
        <v>219</v>
      </c>
      <c r="H23" s="9" t="s">
        <v>4</v>
      </c>
      <c r="I23" s="4"/>
      <c r="J23" s="3"/>
      <c r="K23" s="4"/>
      <c r="L23" s="4"/>
      <c r="M23" s="4"/>
      <c r="N23" s="16"/>
      <c r="O23" s="16"/>
      <c r="P23" s="16"/>
      <c r="Q23" s="16"/>
      <c r="R23" s="16"/>
      <c r="S23" s="16"/>
      <c r="T23" s="16"/>
      <c r="U23" s="16"/>
      <c r="V23" s="16"/>
      <c r="W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row>
    <row r="24" spans="1:65" ht="28.8" x14ac:dyDescent="0.3">
      <c r="A24" s="26">
        <v>1583718</v>
      </c>
      <c r="B24" s="4" t="s">
        <v>19</v>
      </c>
      <c r="C24" s="24" t="s">
        <v>215</v>
      </c>
      <c r="D24" s="23" t="s">
        <v>40</v>
      </c>
      <c r="E24" s="4" t="s">
        <v>192</v>
      </c>
      <c r="F24" s="4" t="s">
        <v>34</v>
      </c>
      <c r="G24" s="4" t="s">
        <v>5</v>
      </c>
      <c r="H24" s="9" t="s">
        <v>4</v>
      </c>
      <c r="I24" s="4"/>
      <c r="J24" s="3"/>
      <c r="K24" s="4"/>
      <c r="L24" s="4"/>
      <c r="M24" s="4"/>
      <c r="N24" s="16"/>
      <c r="O24" s="16"/>
      <c r="P24" s="16"/>
      <c r="Q24" s="16"/>
      <c r="R24" s="16"/>
      <c r="S24" s="16"/>
      <c r="T24" s="16"/>
      <c r="U24" s="16"/>
      <c r="V24" s="16"/>
      <c r="W24" s="16"/>
      <c r="X24" s="16"/>
      <c r="Y24" s="16"/>
      <c r="Z24" s="16"/>
      <c r="AA24" s="16"/>
      <c r="AB24" s="16"/>
      <c r="AC24" s="16"/>
      <c r="AD24" s="16"/>
      <c r="AE24" s="16"/>
      <c r="AF24" s="16"/>
      <c r="AG24" s="16"/>
      <c r="AH24" s="16"/>
      <c r="AI24" s="16"/>
      <c r="AJ24" s="16"/>
      <c r="AK24" s="16"/>
      <c r="AL24" s="16"/>
      <c r="AM24" s="16"/>
      <c r="AN24" s="16"/>
      <c r="AO24" s="16"/>
      <c r="AP24" s="16"/>
      <c r="AQ24" s="16"/>
      <c r="AR24" s="16"/>
      <c r="AS24" s="16"/>
      <c r="AT24" s="16"/>
      <c r="AU24" s="16"/>
      <c r="AV24" s="16"/>
      <c r="AW24" s="16"/>
      <c r="AX24" s="16"/>
      <c r="AY24" s="16"/>
      <c r="AZ24" s="16"/>
      <c r="BA24" s="16"/>
      <c r="BB24" s="16"/>
      <c r="BC24" s="16"/>
      <c r="BD24" s="16"/>
      <c r="BE24" s="16"/>
      <c r="BF24" s="16"/>
      <c r="BG24" s="16"/>
    </row>
    <row r="25" spans="1:65" ht="28.8" x14ac:dyDescent="0.3">
      <c r="A25" s="26">
        <v>1583414</v>
      </c>
      <c r="B25" s="4" t="s">
        <v>19</v>
      </c>
      <c r="C25" s="24" t="s">
        <v>216</v>
      </c>
      <c r="D25" s="23" t="s">
        <v>40</v>
      </c>
      <c r="E25" s="23" t="s">
        <v>57</v>
      </c>
      <c r="F25" s="4" t="s">
        <v>34</v>
      </c>
      <c r="G25" s="4" t="s">
        <v>5</v>
      </c>
      <c r="H25" s="9" t="s">
        <v>4</v>
      </c>
      <c r="I25" s="4"/>
      <c r="J25" s="3" t="s">
        <v>217</v>
      </c>
      <c r="K25" s="4"/>
      <c r="L25" s="4"/>
      <c r="M25" s="4"/>
    </row>
    <row r="26" spans="1:65" x14ac:dyDescent="0.3">
      <c r="A26" s="26">
        <v>1592691</v>
      </c>
      <c r="B26" s="4" t="s">
        <v>19</v>
      </c>
      <c r="C26" s="19" t="s">
        <v>220</v>
      </c>
      <c r="D26" s="4" t="s">
        <v>23</v>
      </c>
      <c r="E26" s="4" t="s">
        <v>192</v>
      </c>
      <c r="F26" s="4" t="s">
        <v>34</v>
      </c>
      <c r="G26" s="4" t="s">
        <v>3</v>
      </c>
      <c r="H26" s="9" t="s">
        <v>4</v>
      </c>
      <c r="I26" s="4"/>
      <c r="J26" s="3"/>
      <c r="K26" s="4"/>
      <c r="L26" s="4"/>
      <c r="M26" s="4"/>
      <c r="N26" s="16"/>
      <c r="O26" s="16"/>
      <c r="P26" s="16"/>
      <c r="Q26" s="16"/>
      <c r="R26" s="16"/>
      <c r="S26" s="16"/>
      <c r="T26" s="16"/>
      <c r="U26" s="16"/>
      <c r="V26" s="16"/>
      <c r="W26" s="16"/>
      <c r="X26" s="16"/>
      <c r="Y26" s="16"/>
      <c r="Z26" s="16"/>
      <c r="AA26" s="16"/>
      <c r="AB26" s="16"/>
      <c r="AC26" s="16"/>
      <c r="AD26" s="16"/>
      <c r="AE26" s="16"/>
      <c r="AF26" s="16"/>
      <c r="AG26" s="16"/>
      <c r="AH26" s="16"/>
      <c r="AI26" s="16"/>
      <c r="AJ26" s="16"/>
      <c r="AK26" s="16"/>
      <c r="AL26" s="16"/>
      <c r="AM26" s="16"/>
      <c r="AN26" s="16"/>
      <c r="AO26" s="16"/>
      <c r="AP26" s="16"/>
      <c r="AQ26" s="16"/>
      <c r="AR26" s="16"/>
      <c r="AS26" s="16"/>
      <c r="AT26" s="16"/>
      <c r="AU26" s="16"/>
      <c r="AV26" s="16"/>
      <c r="AW26" s="16"/>
      <c r="AX26" s="16"/>
      <c r="AY26" s="16"/>
      <c r="AZ26" s="16"/>
      <c r="BA26" s="16"/>
      <c r="BB26" s="16"/>
      <c r="BC26" s="16"/>
      <c r="BD26" s="16"/>
      <c r="BE26" s="16"/>
      <c r="BF26" s="16"/>
      <c r="BG26" s="16"/>
    </row>
    <row r="27" spans="1:65" x14ac:dyDescent="0.3">
      <c r="A27" s="26">
        <v>1592695</v>
      </c>
      <c r="B27" s="4" t="s">
        <v>19</v>
      </c>
      <c r="C27" s="19" t="s">
        <v>221</v>
      </c>
      <c r="D27" s="4" t="s">
        <v>23</v>
      </c>
      <c r="E27" s="4" t="s">
        <v>192</v>
      </c>
      <c r="F27" s="4" t="s">
        <v>34</v>
      </c>
      <c r="G27" s="4" t="s">
        <v>219</v>
      </c>
      <c r="H27" s="9" t="s">
        <v>4</v>
      </c>
      <c r="I27" s="4"/>
      <c r="J27" s="3"/>
      <c r="K27" s="4"/>
      <c r="L27" s="4"/>
      <c r="M27" s="4"/>
      <c r="N27" s="16"/>
      <c r="O27" s="16"/>
      <c r="P27" s="16"/>
      <c r="Q27" s="16"/>
      <c r="R27" s="16"/>
      <c r="S27" s="16"/>
      <c r="T27" s="16"/>
      <c r="U27" s="16"/>
      <c r="V27" s="16"/>
      <c r="W27" s="16"/>
      <c r="X27" s="16"/>
      <c r="Y27" s="16"/>
      <c r="Z27" s="16"/>
      <c r="AA27" s="16"/>
      <c r="AB27" s="16"/>
      <c r="AC27" s="16"/>
      <c r="AD27" s="16"/>
      <c r="AE27" s="16"/>
      <c r="AF27" s="16"/>
      <c r="AG27" s="16"/>
      <c r="AH27" s="16"/>
      <c r="AI27" s="16"/>
      <c r="AJ27" s="16"/>
      <c r="AK27" s="16"/>
      <c r="AL27" s="16"/>
      <c r="AM27" s="16"/>
      <c r="AN27" s="16"/>
      <c r="AO27" s="16"/>
      <c r="AP27" s="16"/>
      <c r="AQ27" s="16"/>
      <c r="AR27" s="16"/>
      <c r="AS27" s="16"/>
      <c r="AT27" s="16"/>
      <c r="AU27" s="16"/>
      <c r="AV27" s="16"/>
      <c r="AW27" s="16"/>
      <c r="AX27" s="16"/>
      <c r="AY27" s="16"/>
      <c r="AZ27" s="16"/>
      <c r="BA27" s="16"/>
      <c r="BB27" s="16"/>
      <c r="BC27" s="16"/>
      <c r="BD27" s="16"/>
      <c r="BE27" s="16"/>
      <c r="BF27" s="16"/>
      <c r="BG27" s="16"/>
    </row>
    <row r="28" spans="1:65" x14ac:dyDescent="0.3">
      <c r="A28" s="26">
        <v>1592714</v>
      </c>
      <c r="B28" s="4" t="s">
        <v>19</v>
      </c>
      <c r="C28" s="19" t="s">
        <v>222</v>
      </c>
      <c r="D28" s="4" t="s">
        <v>23</v>
      </c>
      <c r="E28" s="4" t="s">
        <v>192</v>
      </c>
      <c r="F28" s="4" t="s">
        <v>34</v>
      </c>
      <c r="G28" s="4" t="s">
        <v>219</v>
      </c>
      <c r="H28" s="9" t="s">
        <v>4</v>
      </c>
      <c r="I28" s="4"/>
      <c r="J28" s="3"/>
      <c r="K28" s="4"/>
      <c r="L28" s="4"/>
      <c r="M28" s="4"/>
      <c r="N28" s="16"/>
      <c r="O28" s="16"/>
      <c r="P28" s="16"/>
      <c r="Q28" s="16"/>
      <c r="R28" s="16"/>
      <c r="S28" s="16"/>
      <c r="T28" s="16"/>
      <c r="U28" s="16"/>
      <c r="V28" s="16"/>
      <c r="W28" s="16"/>
      <c r="X28" s="16"/>
      <c r="Y28" s="16"/>
      <c r="Z28" s="16"/>
      <c r="AA28" s="16"/>
      <c r="AB28" s="16"/>
      <c r="AC28" s="16"/>
      <c r="AD28" s="16"/>
      <c r="AE28" s="16"/>
      <c r="AF28" s="16"/>
      <c r="AG28" s="16"/>
      <c r="AH28" s="16"/>
      <c r="AI28" s="16"/>
      <c r="AJ28" s="16"/>
      <c r="AK28" s="16"/>
      <c r="AL28" s="16"/>
      <c r="AM28" s="16"/>
      <c r="AN28" s="16"/>
      <c r="AO28" s="16"/>
      <c r="AP28" s="16"/>
      <c r="AQ28" s="16"/>
      <c r="AR28" s="16"/>
      <c r="AS28" s="16"/>
      <c r="AT28" s="16"/>
      <c r="AU28" s="16"/>
      <c r="AV28" s="16"/>
      <c r="AW28" s="16"/>
      <c r="AX28" s="16"/>
      <c r="AY28" s="16"/>
      <c r="AZ28" s="16"/>
      <c r="BA28" s="16"/>
      <c r="BB28" s="16"/>
      <c r="BC28" s="16"/>
      <c r="BD28" s="16"/>
      <c r="BE28" s="16"/>
      <c r="BF28" s="16"/>
      <c r="BG28" s="16"/>
    </row>
    <row r="29" spans="1:65" x14ac:dyDescent="0.3">
      <c r="A29" s="26">
        <v>1592717</v>
      </c>
      <c r="B29" s="4" t="s">
        <v>19</v>
      </c>
      <c r="C29" s="19" t="s">
        <v>223</v>
      </c>
      <c r="D29" s="4" t="s">
        <v>23</v>
      </c>
      <c r="E29" s="4" t="s">
        <v>192</v>
      </c>
      <c r="F29" s="4" t="s">
        <v>34</v>
      </c>
      <c r="G29" s="4" t="s">
        <v>3</v>
      </c>
      <c r="H29" s="9" t="s">
        <v>4</v>
      </c>
      <c r="I29" s="4"/>
      <c r="J29" s="3"/>
      <c r="K29" s="4"/>
      <c r="L29" s="4"/>
      <c r="M29" s="4"/>
      <c r="N29" s="16"/>
      <c r="O29" s="16"/>
      <c r="P29" s="16"/>
      <c r="Q29" s="16"/>
      <c r="R29" s="16"/>
      <c r="S29" s="16"/>
      <c r="T29" s="16"/>
      <c r="U29" s="16"/>
      <c r="V29" s="16"/>
      <c r="W29" s="16"/>
      <c r="X29" s="16"/>
      <c r="Y29" s="16"/>
      <c r="Z29" s="16"/>
      <c r="AA29" s="16"/>
      <c r="AB29" s="16"/>
      <c r="AC29" s="16"/>
      <c r="AD29" s="16"/>
      <c r="AE29" s="16"/>
      <c r="AF29" s="16"/>
      <c r="AG29" s="16"/>
      <c r="AH29" s="16"/>
      <c r="AI29" s="16"/>
      <c r="AJ29" s="16"/>
      <c r="AK29" s="16"/>
      <c r="AL29" s="16"/>
      <c r="AM29" s="16"/>
      <c r="AN29" s="16"/>
      <c r="AO29" s="16"/>
      <c r="AP29" s="16"/>
      <c r="AQ29" s="16"/>
      <c r="AR29" s="16"/>
      <c r="AS29" s="16"/>
      <c r="AT29" s="16"/>
      <c r="AU29" s="16"/>
      <c r="AV29" s="16"/>
      <c r="AW29" s="16"/>
      <c r="AX29" s="16"/>
      <c r="AY29" s="16"/>
      <c r="AZ29" s="16"/>
      <c r="BA29" s="16"/>
      <c r="BB29" s="16"/>
      <c r="BC29" s="16"/>
      <c r="BD29" s="16"/>
      <c r="BE29" s="16"/>
      <c r="BF29" s="16"/>
      <c r="BG29" s="16"/>
    </row>
    <row r="30" spans="1:65" x14ac:dyDescent="0.3">
      <c r="A30" s="26">
        <v>1592719</v>
      </c>
      <c r="B30" s="4" t="s">
        <v>19</v>
      </c>
      <c r="C30" s="19" t="s">
        <v>224</v>
      </c>
      <c r="D30" s="4" t="s">
        <v>23</v>
      </c>
      <c r="E30" s="4" t="s">
        <v>192</v>
      </c>
      <c r="F30" s="4" t="s">
        <v>34</v>
      </c>
      <c r="G30" s="4" t="s">
        <v>3</v>
      </c>
      <c r="H30" s="9" t="s">
        <v>4</v>
      </c>
      <c r="I30" s="4"/>
      <c r="J30" s="3"/>
      <c r="K30" s="4"/>
      <c r="L30" s="4"/>
      <c r="M30" s="4"/>
      <c r="N30" s="16"/>
      <c r="O30" s="16"/>
      <c r="P30" s="16"/>
      <c r="Q30" s="16"/>
      <c r="R30" s="16"/>
      <c r="S30" s="16"/>
      <c r="T30" s="16"/>
      <c r="U30" s="16"/>
      <c r="V30" s="16"/>
      <c r="W30" s="16"/>
      <c r="X30" s="16"/>
      <c r="Y30" s="16"/>
      <c r="Z30" s="16"/>
      <c r="AA30" s="16"/>
      <c r="AB30" s="16"/>
      <c r="AC30" s="16"/>
      <c r="AD30" s="16"/>
      <c r="AE30" s="16"/>
      <c r="AF30" s="16"/>
      <c r="AG30" s="16"/>
      <c r="AH30" s="16"/>
      <c r="AI30" s="16"/>
      <c r="AJ30" s="16"/>
      <c r="AK30" s="16"/>
      <c r="AL30" s="16"/>
      <c r="AM30" s="16"/>
      <c r="AN30" s="16"/>
      <c r="AO30" s="16"/>
      <c r="AP30" s="16"/>
      <c r="AQ30" s="16"/>
      <c r="AR30" s="16"/>
      <c r="AS30" s="16"/>
      <c r="AT30" s="16"/>
      <c r="AU30" s="16"/>
      <c r="AV30" s="16"/>
      <c r="AW30" s="16"/>
      <c r="AX30" s="16"/>
      <c r="AY30" s="16"/>
      <c r="AZ30" s="16"/>
      <c r="BA30" s="16"/>
      <c r="BB30" s="16"/>
      <c r="BC30" s="16"/>
      <c r="BD30" s="16"/>
      <c r="BE30" s="16"/>
      <c r="BF30" s="16"/>
      <c r="BG30" s="16"/>
    </row>
    <row r="31" spans="1:65" x14ac:dyDescent="0.3">
      <c r="A31" s="26">
        <v>1592703</v>
      </c>
      <c r="B31" s="4" t="s">
        <v>19</v>
      </c>
      <c r="C31" s="19" t="s">
        <v>225</v>
      </c>
      <c r="D31" s="4" t="s">
        <v>23</v>
      </c>
      <c r="E31" s="4" t="s">
        <v>192</v>
      </c>
      <c r="F31" s="4" t="s">
        <v>34</v>
      </c>
      <c r="G31" s="4" t="s">
        <v>219</v>
      </c>
      <c r="H31" s="9" t="s">
        <v>4</v>
      </c>
      <c r="I31" s="4"/>
      <c r="J31" s="3"/>
      <c r="K31" s="4"/>
      <c r="L31" s="4"/>
      <c r="M31" s="4"/>
      <c r="N31" s="16"/>
      <c r="O31" s="16"/>
      <c r="P31" s="16"/>
      <c r="Q31" s="16"/>
      <c r="R31" s="16"/>
      <c r="S31" s="16"/>
      <c r="T31" s="16"/>
      <c r="U31" s="16"/>
      <c r="V31" s="16"/>
      <c r="W31" s="16"/>
      <c r="X31" s="16"/>
      <c r="Y31" s="16"/>
      <c r="Z31" s="16"/>
      <c r="AA31" s="16"/>
      <c r="AB31" s="16"/>
      <c r="AC31" s="16"/>
      <c r="AD31" s="16"/>
      <c r="AE31" s="16"/>
      <c r="AF31" s="16"/>
      <c r="AG31" s="16"/>
      <c r="AH31" s="16"/>
      <c r="AI31" s="16"/>
      <c r="AJ31" s="16"/>
      <c r="AK31" s="16"/>
      <c r="AL31" s="16"/>
      <c r="AM31" s="16"/>
      <c r="AN31" s="16"/>
      <c r="AO31" s="16"/>
      <c r="AP31" s="16"/>
      <c r="AQ31" s="16"/>
      <c r="AR31" s="16"/>
      <c r="AS31" s="16"/>
      <c r="AT31" s="16"/>
      <c r="AU31" s="16"/>
      <c r="AV31" s="16"/>
      <c r="AW31" s="16"/>
      <c r="AX31" s="16"/>
      <c r="AY31" s="16"/>
      <c r="AZ31" s="16"/>
      <c r="BA31" s="16"/>
      <c r="BB31" s="16"/>
      <c r="BC31" s="16"/>
      <c r="BD31" s="16"/>
      <c r="BE31" s="16"/>
      <c r="BF31" s="16"/>
      <c r="BG31" s="16"/>
    </row>
    <row r="32" spans="1:65" x14ac:dyDescent="0.3">
      <c r="A32" s="26">
        <v>1592706</v>
      </c>
      <c r="B32" s="4" t="s">
        <v>19</v>
      </c>
      <c r="C32" s="19" t="s">
        <v>226</v>
      </c>
      <c r="D32" s="4" t="s">
        <v>23</v>
      </c>
      <c r="E32" s="4" t="s">
        <v>192</v>
      </c>
      <c r="F32" s="4" t="s">
        <v>34</v>
      </c>
      <c r="G32" s="4" t="s">
        <v>5</v>
      </c>
      <c r="H32" s="9" t="s">
        <v>4</v>
      </c>
      <c r="I32" s="4"/>
      <c r="J32" s="3"/>
      <c r="K32" s="4"/>
      <c r="L32" s="4"/>
      <c r="M32" s="4"/>
      <c r="N32" s="16"/>
      <c r="O32" s="16"/>
      <c r="P32" s="16"/>
      <c r="Q32" s="16"/>
      <c r="R32" s="16"/>
      <c r="S32" s="16"/>
      <c r="T32" s="16"/>
      <c r="U32" s="16"/>
      <c r="V32" s="16"/>
      <c r="W32" s="16"/>
      <c r="X32" s="16"/>
      <c r="Y32" s="16"/>
      <c r="Z32" s="16"/>
      <c r="AA32" s="16"/>
      <c r="AB32" s="16"/>
      <c r="AC32" s="16"/>
      <c r="AD32" s="16"/>
      <c r="AE32" s="16"/>
      <c r="AF32" s="16"/>
      <c r="AG32" s="16"/>
      <c r="AH32" s="16"/>
      <c r="AI32" s="16"/>
      <c r="AJ32" s="16"/>
      <c r="AK32" s="16"/>
      <c r="AL32" s="16"/>
      <c r="AM32" s="16"/>
      <c r="AN32" s="16"/>
      <c r="AO32" s="16"/>
      <c r="AP32" s="16"/>
      <c r="AQ32" s="16"/>
      <c r="AR32" s="16"/>
      <c r="AS32" s="16"/>
      <c r="AT32" s="16"/>
      <c r="AU32" s="16"/>
      <c r="AV32" s="16"/>
      <c r="AW32" s="16"/>
      <c r="AX32" s="16"/>
      <c r="AY32" s="16"/>
      <c r="AZ32" s="16"/>
      <c r="BA32" s="16"/>
      <c r="BB32" s="16"/>
      <c r="BC32" s="16"/>
      <c r="BD32" s="16"/>
      <c r="BE32" s="16"/>
      <c r="BF32" s="16"/>
      <c r="BG32" s="16"/>
    </row>
    <row r="33" spans="1:59" x14ac:dyDescent="0.3">
      <c r="A33" s="26">
        <v>1592707</v>
      </c>
      <c r="B33" s="4" t="s">
        <v>19</v>
      </c>
      <c r="C33" s="19" t="s">
        <v>227</v>
      </c>
      <c r="D33" s="4" t="s">
        <v>27</v>
      </c>
      <c r="E33" s="4" t="s">
        <v>192</v>
      </c>
      <c r="F33" s="4" t="s">
        <v>34</v>
      </c>
      <c r="G33" s="4" t="s">
        <v>5</v>
      </c>
      <c r="H33" s="9" t="s">
        <v>4</v>
      </c>
      <c r="I33" s="4"/>
      <c r="J33" s="3"/>
      <c r="K33" s="4"/>
      <c r="L33" s="4"/>
      <c r="M33" s="4"/>
      <c r="N33" s="16"/>
      <c r="O33" s="16"/>
      <c r="P33" s="16"/>
      <c r="Q33" s="16"/>
      <c r="R33" s="16"/>
      <c r="S33" s="16"/>
      <c r="T33" s="16"/>
      <c r="U33" s="16"/>
      <c r="V33" s="16"/>
      <c r="W33" s="16"/>
      <c r="X33" s="16"/>
      <c r="Y33" s="16"/>
      <c r="Z33" s="16"/>
      <c r="AA33" s="16"/>
      <c r="AB33" s="16"/>
      <c r="AC33" s="16"/>
      <c r="AD33" s="16"/>
      <c r="AE33" s="16"/>
      <c r="AF33" s="16"/>
      <c r="AG33" s="16"/>
      <c r="AH33" s="16"/>
      <c r="AI33" s="16"/>
      <c r="AJ33" s="16"/>
      <c r="AK33" s="16"/>
      <c r="AL33" s="16"/>
      <c r="AM33" s="16"/>
      <c r="AN33" s="16"/>
      <c r="AO33" s="16"/>
      <c r="AP33" s="16"/>
      <c r="AQ33" s="16"/>
      <c r="AR33" s="16"/>
      <c r="AS33" s="16"/>
      <c r="AT33" s="16"/>
      <c r="AU33" s="16"/>
      <c r="AV33" s="16"/>
      <c r="AW33" s="16"/>
      <c r="AX33" s="16"/>
      <c r="AY33" s="16"/>
      <c r="AZ33" s="16"/>
      <c r="BA33" s="16"/>
      <c r="BB33" s="16"/>
      <c r="BC33" s="16"/>
      <c r="BD33" s="16"/>
      <c r="BE33" s="16"/>
      <c r="BF33" s="16"/>
      <c r="BG33" s="16"/>
    </row>
    <row r="34" spans="1:59" x14ac:dyDescent="0.3">
      <c r="A34" s="26">
        <v>1592722</v>
      </c>
      <c r="B34" s="4" t="s">
        <v>19</v>
      </c>
      <c r="C34" s="19" t="s">
        <v>228</v>
      </c>
      <c r="D34" s="4" t="s">
        <v>27</v>
      </c>
      <c r="E34" s="4" t="s">
        <v>192</v>
      </c>
      <c r="F34" s="4" t="s">
        <v>34</v>
      </c>
      <c r="G34" s="4" t="s">
        <v>3</v>
      </c>
      <c r="H34" s="9" t="s">
        <v>4</v>
      </c>
      <c r="I34" s="4"/>
      <c r="J34" s="3"/>
      <c r="K34" s="4"/>
      <c r="L34" s="4"/>
      <c r="M34" s="4"/>
      <c r="N34" s="16"/>
      <c r="O34" s="16"/>
      <c r="P34" s="16"/>
      <c r="Q34" s="16"/>
      <c r="R34" s="16"/>
      <c r="S34" s="16"/>
      <c r="T34" s="16"/>
      <c r="U34" s="16"/>
      <c r="V34" s="16"/>
      <c r="W34" s="16"/>
      <c r="X34" s="16"/>
      <c r="Y34" s="16"/>
      <c r="Z34" s="16"/>
      <c r="AA34" s="16"/>
      <c r="AB34" s="16"/>
      <c r="AC34" s="16"/>
      <c r="AD34" s="16"/>
      <c r="AE34" s="16"/>
      <c r="AF34" s="16"/>
      <c r="AG34" s="16"/>
      <c r="AH34" s="16"/>
      <c r="AI34" s="16"/>
      <c r="AJ34" s="16"/>
      <c r="AK34" s="16"/>
      <c r="AL34" s="16"/>
      <c r="AM34" s="16"/>
      <c r="AN34" s="16"/>
      <c r="AO34" s="16"/>
      <c r="AP34" s="16"/>
      <c r="AQ34" s="16"/>
      <c r="AR34" s="16"/>
      <c r="AS34" s="16"/>
      <c r="AT34" s="16"/>
      <c r="AU34" s="16"/>
      <c r="AV34" s="16"/>
      <c r="AW34" s="16"/>
      <c r="AX34" s="16"/>
      <c r="AY34" s="16"/>
      <c r="AZ34" s="16"/>
      <c r="BA34" s="16"/>
      <c r="BB34" s="16"/>
      <c r="BC34" s="16"/>
      <c r="BD34" s="16"/>
      <c r="BE34" s="16"/>
      <c r="BF34" s="16"/>
      <c r="BG34" s="16"/>
    </row>
    <row r="35" spans="1:59" x14ac:dyDescent="0.3">
      <c r="A35" s="26">
        <v>1592736</v>
      </c>
      <c r="B35" s="4" t="s">
        <v>19</v>
      </c>
      <c r="C35" s="19" t="s">
        <v>229</v>
      </c>
      <c r="D35" s="4" t="s">
        <v>27</v>
      </c>
      <c r="E35" s="4" t="s">
        <v>192</v>
      </c>
      <c r="F35" s="4" t="s">
        <v>34</v>
      </c>
      <c r="G35" s="4" t="s">
        <v>5</v>
      </c>
      <c r="H35" s="9" t="s">
        <v>4</v>
      </c>
      <c r="I35" s="4"/>
      <c r="J35" s="3"/>
      <c r="K35" s="4"/>
      <c r="L35" s="4"/>
      <c r="M35" s="4"/>
      <c r="N35" s="16"/>
      <c r="O35" s="16"/>
      <c r="P35" s="16"/>
      <c r="Q35" s="16"/>
      <c r="R35" s="16"/>
      <c r="S35" s="16"/>
      <c r="T35" s="16"/>
      <c r="U35" s="16"/>
      <c r="V35" s="16"/>
      <c r="W35" s="16"/>
      <c r="X35" s="16"/>
      <c r="Y35" s="16"/>
      <c r="Z35" s="16"/>
      <c r="AA35" s="16"/>
      <c r="AB35" s="16"/>
      <c r="AC35" s="16"/>
      <c r="AD35" s="16"/>
      <c r="AE35" s="16"/>
      <c r="AF35" s="16"/>
      <c r="AG35" s="16"/>
      <c r="AH35" s="16"/>
      <c r="AI35" s="16"/>
      <c r="AJ35" s="16"/>
      <c r="AK35" s="16"/>
      <c r="AL35" s="16"/>
      <c r="AM35" s="16"/>
      <c r="AN35" s="16"/>
      <c r="AO35" s="16"/>
      <c r="AP35" s="16"/>
      <c r="AQ35" s="16"/>
      <c r="AR35" s="16"/>
      <c r="AS35" s="16"/>
      <c r="AT35" s="16"/>
      <c r="AU35" s="16"/>
      <c r="AV35" s="16"/>
      <c r="AW35" s="16"/>
      <c r="AX35" s="16"/>
      <c r="AY35" s="16"/>
      <c r="AZ35" s="16"/>
      <c r="BA35" s="16"/>
      <c r="BB35" s="16"/>
      <c r="BC35" s="16"/>
      <c r="BD35" s="16"/>
      <c r="BE35" s="16"/>
      <c r="BF35" s="16"/>
      <c r="BG35" s="16"/>
    </row>
    <row r="36" spans="1:59" x14ac:dyDescent="0.3">
      <c r="A36" s="26">
        <v>1592737</v>
      </c>
      <c r="B36" s="4" t="s">
        <v>19</v>
      </c>
      <c r="C36" s="19" t="s">
        <v>230</v>
      </c>
      <c r="D36" s="4" t="s">
        <v>27</v>
      </c>
      <c r="E36" s="4" t="s">
        <v>192</v>
      </c>
      <c r="F36" s="4" t="s">
        <v>34</v>
      </c>
      <c r="G36" s="4" t="s">
        <v>219</v>
      </c>
      <c r="H36" s="9" t="s">
        <v>4</v>
      </c>
      <c r="I36" s="4"/>
      <c r="J36" s="3"/>
      <c r="K36" s="4"/>
      <c r="L36" s="4"/>
      <c r="M36" s="4"/>
      <c r="N36" s="16"/>
      <c r="O36" s="16"/>
      <c r="P36" s="16"/>
      <c r="Q36" s="16"/>
      <c r="R36" s="16"/>
      <c r="S36" s="16"/>
      <c r="T36" s="16"/>
      <c r="U36" s="16"/>
      <c r="V36" s="16"/>
      <c r="W36" s="16"/>
      <c r="X36" s="16"/>
      <c r="Y36" s="16"/>
      <c r="Z36" s="16"/>
      <c r="AA36" s="16"/>
      <c r="AB36" s="16"/>
      <c r="AC36" s="16"/>
      <c r="AD36" s="16"/>
      <c r="AE36" s="16"/>
      <c r="AF36" s="16"/>
      <c r="AG36" s="16"/>
      <c r="AH36" s="16"/>
      <c r="AI36" s="16"/>
      <c r="AJ36" s="16"/>
      <c r="AK36" s="16"/>
      <c r="AL36" s="16"/>
      <c r="AM36" s="16"/>
      <c r="AN36" s="16"/>
      <c r="AO36" s="16"/>
      <c r="AP36" s="16"/>
      <c r="AQ36" s="16"/>
      <c r="AR36" s="16"/>
      <c r="AS36" s="16"/>
      <c r="AT36" s="16"/>
      <c r="AU36" s="16"/>
      <c r="AV36" s="16"/>
      <c r="AW36" s="16"/>
      <c r="AX36" s="16"/>
      <c r="AY36" s="16"/>
      <c r="AZ36" s="16"/>
      <c r="BA36" s="16"/>
      <c r="BB36" s="16"/>
      <c r="BC36" s="16"/>
      <c r="BD36" s="16"/>
      <c r="BE36" s="16"/>
      <c r="BF36" s="16"/>
      <c r="BG36" s="16"/>
    </row>
    <row r="37" spans="1:59" x14ac:dyDescent="0.3">
      <c r="A37" s="26">
        <v>1592748</v>
      </c>
      <c r="B37" s="4" t="s">
        <v>19</v>
      </c>
      <c r="C37" s="19" t="s">
        <v>231</v>
      </c>
      <c r="D37" s="4" t="s">
        <v>27</v>
      </c>
      <c r="E37" s="4" t="s">
        <v>192</v>
      </c>
      <c r="F37" s="4" t="s">
        <v>34</v>
      </c>
      <c r="G37" s="4" t="s">
        <v>5</v>
      </c>
      <c r="H37" s="9" t="s">
        <v>4</v>
      </c>
      <c r="I37" s="4"/>
      <c r="J37" s="3"/>
      <c r="K37" s="4"/>
      <c r="L37" s="4"/>
      <c r="M37" s="4"/>
      <c r="N37" s="16"/>
      <c r="O37" s="16"/>
      <c r="P37" s="16"/>
      <c r="Q37" s="16"/>
      <c r="R37" s="16"/>
      <c r="S37" s="16"/>
      <c r="T37" s="16"/>
      <c r="U37" s="16"/>
      <c r="V37" s="16"/>
      <c r="W37" s="16"/>
      <c r="X37" s="16"/>
      <c r="Y37" s="16"/>
      <c r="Z37" s="16"/>
      <c r="AA37" s="16"/>
      <c r="AB37" s="16"/>
      <c r="AC37" s="16"/>
      <c r="AD37" s="16"/>
      <c r="AE37" s="16"/>
      <c r="AF37" s="16"/>
      <c r="AG37" s="16"/>
      <c r="AH37" s="16"/>
      <c r="AI37" s="16"/>
      <c r="AJ37" s="16"/>
      <c r="AK37" s="16"/>
      <c r="AL37" s="16"/>
      <c r="AM37" s="16"/>
      <c r="AN37" s="16"/>
      <c r="AO37" s="16"/>
      <c r="AP37" s="16"/>
      <c r="AQ37" s="16"/>
      <c r="AR37" s="16"/>
      <c r="AS37" s="16"/>
      <c r="AT37" s="16"/>
      <c r="AU37" s="16"/>
      <c r="AV37" s="16"/>
      <c r="AW37" s="16"/>
      <c r="AX37" s="16"/>
      <c r="AY37" s="16"/>
      <c r="AZ37" s="16"/>
      <c r="BA37" s="16"/>
      <c r="BB37" s="16"/>
      <c r="BC37" s="16"/>
      <c r="BD37" s="16"/>
      <c r="BE37" s="16"/>
      <c r="BF37" s="16"/>
      <c r="BG37" s="16"/>
    </row>
    <row r="38" spans="1:59" x14ac:dyDescent="0.3">
      <c r="A38" s="26">
        <v>1592699</v>
      </c>
      <c r="B38" s="4" t="s">
        <v>19</v>
      </c>
      <c r="C38" s="19" t="s">
        <v>232</v>
      </c>
      <c r="D38" s="4" t="s">
        <v>27</v>
      </c>
      <c r="E38" s="4" t="s">
        <v>192</v>
      </c>
      <c r="F38" s="4" t="s">
        <v>34</v>
      </c>
      <c r="G38" s="4" t="s">
        <v>3</v>
      </c>
      <c r="H38" s="9" t="s">
        <v>4</v>
      </c>
      <c r="I38" s="4"/>
      <c r="J38" s="3"/>
      <c r="K38" s="4"/>
      <c r="L38" s="4"/>
      <c r="M38" s="4"/>
      <c r="N38" s="16"/>
      <c r="O38" s="16"/>
      <c r="P38" s="16"/>
      <c r="Q38" s="16"/>
      <c r="R38" s="16"/>
      <c r="S38" s="16"/>
      <c r="T38" s="16"/>
      <c r="U38" s="16"/>
      <c r="V38" s="16"/>
      <c r="W38" s="16"/>
      <c r="X38" s="16"/>
      <c r="Y38" s="16"/>
      <c r="Z38" s="16"/>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c r="AZ38" s="16"/>
      <c r="BA38" s="16"/>
      <c r="BB38" s="16"/>
      <c r="BC38" s="16"/>
      <c r="BD38" s="16"/>
      <c r="BE38" s="16"/>
      <c r="BF38" s="16"/>
      <c r="BG38" s="16"/>
    </row>
    <row r="39" spans="1:59" x14ac:dyDescent="0.3">
      <c r="A39" s="26">
        <v>1592676</v>
      </c>
      <c r="B39" s="4" t="s">
        <v>19</v>
      </c>
      <c r="C39" t="s">
        <v>233</v>
      </c>
      <c r="D39" s="4" t="s">
        <v>27</v>
      </c>
      <c r="E39" s="4" t="s">
        <v>192</v>
      </c>
      <c r="F39" s="4" t="s">
        <v>34</v>
      </c>
      <c r="G39" s="4" t="s">
        <v>5</v>
      </c>
      <c r="H39" s="9" t="s">
        <v>4</v>
      </c>
      <c r="I39" s="4"/>
      <c r="J39" s="3"/>
      <c r="K39" s="4"/>
      <c r="L39" s="4"/>
      <c r="M39" s="4"/>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row>
    <row r="40" spans="1:59" x14ac:dyDescent="0.3">
      <c r="A40" s="4"/>
      <c r="B40" s="4"/>
      <c r="C40" s="18"/>
      <c r="D40" s="4"/>
      <c r="E40" s="4"/>
      <c r="F40" s="4"/>
      <c r="G40" s="4"/>
      <c r="H40" s="9"/>
      <c r="I40" s="4"/>
      <c r="J40" s="3"/>
      <c r="K40" s="4"/>
      <c r="L40" s="4"/>
      <c r="M40" s="4"/>
      <c r="N40" s="16"/>
      <c r="O40" s="16"/>
      <c r="P40" s="16"/>
      <c r="Q40" s="16"/>
      <c r="R40" s="16"/>
      <c r="S40" s="16"/>
      <c r="T40" s="16"/>
      <c r="U40" s="16"/>
      <c r="V40" s="16"/>
      <c r="W40" s="16"/>
      <c r="X40" s="16"/>
      <c r="Y40" s="16"/>
      <c r="Z40" s="16"/>
      <c r="AA40" s="16"/>
      <c r="AB40" s="16"/>
      <c r="AC40" s="16"/>
      <c r="AD40" s="16"/>
      <c r="AE40" s="16"/>
      <c r="AF40" s="16"/>
      <c r="AG40" s="16"/>
      <c r="AH40" s="16"/>
      <c r="AI40" s="16"/>
      <c r="AJ40" s="16"/>
      <c r="AK40" s="16"/>
      <c r="AL40" s="16"/>
      <c r="AM40" s="16"/>
      <c r="AN40" s="16"/>
      <c r="AO40" s="16"/>
      <c r="AP40" s="16"/>
      <c r="AQ40" s="16"/>
      <c r="AR40" s="16"/>
      <c r="AS40" s="16"/>
      <c r="AT40" s="16"/>
      <c r="AU40" s="16"/>
      <c r="AV40" s="16"/>
      <c r="AW40" s="16"/>
      <c r="AX40" s="16"/>
      <c r="AY40" s="16"/>
      <c r="AZ40" s="16"/>
      <c r="BA40" s="16"/>
      <c r="BB40" s="16"/>
      <c r="BC40" s="16"/>
      <c r="BD40" s="16"/>
      <c r="BE40" s="16"/>
      <c r="BF40" s="16"/>
      <c r="BG40" s="16"/>
    </row>
    <row r="41" spans="1:59" x14ac:dyDescent="0.3">
      <c r="A41" s="4"/>
      <c r="B41" s="4"/>
      <c r="C41" s="18"/>
      <c r="D41" s="4"/>
      <c r="E41" s="4"/>
      <c r="F41" s="4"/>
      <c r="G41" s="4"/>
      <c r="H41" s="9"/>
      <c r="I41" s="4"/>
      <c r="J41" s="3"/>
      <c r="K41" s="4"/>
      <c r="L41" s="4"/>
      <c r="M41" s="4"/>
      <c r="N41" s="16"/>
      <c r="O41" s="16"/>
      <c r="P41" s="16"/>
      <c r="Q41" s="16"/>
      <c r="R41" s="16"/>
      <c r="S41" s="16"/>
      <c r="T41" s="16"/>
      <c r="U41" s="16"/>
      <c r="V41" s="16"/>
      <c r="W41" s="16"/>
      <c r="X41" s="16"/>
      <c r="Y41" s="16"/>
      <c r="Z41" s="16"/>
      <c r="AA41" s="16"/>
      <c r="AB41" s="16"/>
      <c r="AC41" s="16"/>
      <c r="AD41" s="16"/>
      <c r="AE41" s="16"/>
      <c r="AF41" s="16"/>
      <c r="AG41" s="16"/>
      <c r="AH41" s="16"/>
      <c r="AI41" s="16"/>
      <c r="AJ41" s="16"/>
      <c r="AK41" s="16"/>
      <c r="AL41" s="16"/>
      <c r="AM41" s="16"/>
      <c r="AN41" s="16"/>
      <c r="AO41" s="16"/>
      <c r="AP41" s="16"/>
      <c r="AQ41" s="16"/>
      <c r="AR41" s="16"/>
      <c r="AS41" s="16"/>
      <c r="AT41" s="16"/>
      <c r="AU41" s="16"/>
      <c r="AV41" s="16"/>
      <c r="AW41" s="16"/>
      <c r="AX41" s="16"/>
      <c r="AY41" s="16"/>
      <c r="AZ41" s="16"/>
      <c r="BA41" s="16"/>
      <c r="BB41" s="16"/>
      <c r="BC41" s="16"/>
      <c r="BD41" s="16"/>
      <c r="BE41" s="16"/>
      <c r="BF41" s="16"/>
      <c r="BG41" s="16"/>
    </row>
    <row r="42" spans="1:59" x14ac:dyDescent="0.3">
      <c r="A42" s="4"/>
      <c r="B42" s="4"/>
      <c r="C42" s="18"/>
      <c r="D42" s="4"/>
      <c r="E42" s="4"/>
      <c r="F42" s="4"/>
      <c r="G42" s="4"/>
      <c r="H42" s="9"/>
      <c r="I42" s="4"/>
      <c r="J42" s="3"/>
      <c r="K42" s="4"/>
      <c r="L42" s="4"/>
      <c r="M42" s="4"/>
      <c r="N42" s="16"/>
      <c r="O42" s="16"/>
      <c r="P42" s="16"/>
      <c r="Q42" s="16"/>
      <c r="R42" s="16"/>
      <c r="S42" s="16"/>
      <c r="T42" s="16"/>
      <c r="U42" s="16"/>
      <c r="V42" s="16"/>
      <c r="W42" s="16"/>
      <c r="X42" s="16"/>
      <c r="Y42" s="16"/>
      <c r="Z42" s="16"/>
      <c r="AA42" s="16"/>
      <c r="AB42" s="16"/>
      <c r="AC42" s="16"/>
      <c r="AD42" s="16"/>
      <c r="AE42" s="16"/>
      <c r="AF42" s="16"/>
      <c r="AG42" s="16"/>
      <c r="AH42" s="16"/>
      <c r="AI42" s="16"/>
      <c r="AJ42" s="16"/>
      <c r="AK42" s="16"/>
      <c r="AL42" s="16"/>
      <c r="AM42" s="16"/>
      <c r="AN42" s="16"/>
      <c r="AO42" s="16"/>
      <c r="AP42" s="16"/>
      <c r="AQ42" s="16"/>
      <c r="AR42" s="16"/>
      <c r="AS42" s="16"/>
      <c r="AT42" s="16"/>
      <c r="AU42" s="16"/>
      <c r="AV42" s="16"/>
      <c r="AW42" s="16"/>
      <c r="AX42" s="16"/>
      <c r="AY42" s="16"/>
      <c r="AZ42" s="16"/>
      <c r="BA42" s="16"/>
      <c r="BB42" s="16"/>
      <c r="BC42" s="16"/>
      <c r="BD42" s="16"/>
      <c r="BE42" s="16"/>
      <c r="BF42" s="16"/>
      <c r="BG42" s="16"/>
    </row>
    <row r="43" spans="1:59" x14ac:dyDescent="0.3">
      <c r="A43" s="4"/>
      <c r="B43" s="4"/>
      <c r="C43" s="18"/>
      <c r="D43" s="4"/>
      <c r="E43" s="4"/>
      <c r="F43" s="4"/>
      <c r="G43" s="4"/>
      <c r="H43" s="9"/>
      <c r="I43" s="4"/>
      <c r="J43" s="3"/>
      <c r="K43" s="4"/>
      <c r="L43" s="4"/>
      <c r="M43" s="4"/>
      <c r="N43" s="16"/>
      <c r="O43" s="16"/>
      <c r="P43" s="16"/>
      <c r="Q43" s="16"/>
      <c r="R43" s="16"/>
      <c r="S43" s="16"/>
      <c r="T43" s="16"/>
      <c r="U43" s="16"/>
      <c r="V43" s="16"/>
      <c r="W43" s="16"/>
      <c r="X43" s="16"/>
      <c r="Y43" s="16"/>
      <c r="Z43" s="16"/>
      <c r="AA43" s="16"/>
      <c r="AB43" s="16"/>
      <c r="AC43" s="16"/>
      <c r="AD43" s="16"/>
      <c r="AE43" s="16"/>
      <c r="AF43" s="16"/>
      <c r="AG43" s="16"/>
      <c r="AH43" s="16"/>
      <c r="AI43" s="16"/>
      <c r="AJ43" s="16"/>
      <c r="AK43" s="16"/>
      <c r="AL43" s="16"/>
      <c r="AM43" s="16"/>
      <c r="AN43" s="16"/>
      <c r="AO43" s="16"/>
      <c r="AP43" s="16"/>
      <c r="AQ43" s="16"/>
      <c r="AR43" s="16"/>
      <c r="AS43" s="16"/>
      <c r="AT43" s="16"/>
      <c r="AU43" s="16"/>
      <c r="AV43" s="16"/>
      <c r="AW43" s="16"/>
      <c r="AX43" s="16"/>
      <c r="AY43" s="16"/>
      <c r="AZ43" s="16"/>
      <c r="BA43" s="16"/>
      <c r="BB43" s="16"/>
      <c r="BC43" s="16"/>
      <c r="BD43" s="16"/>
      <c r="BE43" s="16"/>
      <c r="BF43" s="16"/>
      <c r="BG43" s="16"/>
    </row>
    <row r="44" spans="1:59" x14ac:dyDescent="0.3">
      <c r="A44" s="4"/>
      <c r="B44" s="4"/>
      <c r="C44" s="18"/>
      <c r="D44" s="4"/>
      <c r="E44" s="4"/>
      <c r="F44" s="4"/>
      <c r="G44" s="4"/>
      <c r="H44" s="9"/>
      <c r="I44" s="4"/>
      <c r="J44" s="3"/>
      <c r="K44" s="4"/>
      <c r="L44" s="4"/>
      <c r="M44" s="4"/>
      <c r="N44" s="16"/>
      <c r="O44" s="16"/>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c r="BF44" s="16"/>
      <c r="BG44" s="16"/>
    </row>
    <row r="45" spans="1:59" x14ac:dyDescent="0.3">
      <c r="A45" s="4"/>
      <c r="B45" s="4"/>
      <c r="C45" s="18"/>
      <c r="D45" s="4"/>
      <c r="E45" s="4"/>
      <c r="F45" s="4"/>
      <c r="G45" s="4"/>
      <c r="H45" s="9"/>
      <c r="I45" s="4"/>
      <c r="J45" s="3"/>
      <c r="K45" s="4"/>
      <c r="L45" s="4"/>
      <c r="M45" s="4"/>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row>
    <row r="46" spans="1:59" x14ac:dyDescent="0.3">
      <c r="A46" s="4"/>
      <c r="B46" s="4"/>
      <c r="C46" s="18"/>
      <c r="D46" s="4"/>
      <c r="E46" s="4"/>
      <c r="F46" s="4"/>
      <c r="G46" s="4"/>
      <c r="H46" s="9"/>
      <c r="I46" s="4"/>
      <c r="J46" s="3"/>
      <c r="K46" s="4"/>
      <c r="L46" s="4"/>
      <c r="M46" s="4"/>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row>
    <row r="47" spans="1:59" x14ac:dyDescent="0.3">
      <c r="A47" s="4"/>
      <c r="B47" s="4"/>
      <c r="C47" s="18"/>
      <c r="D47" s="4"/>
      <c r="E47" s="4"/>
      <c r="F47" s="4"/>
      <c r="G47" s="4"/>
      <c r="H47" s="9"/>
      <c r="I47" s="4"/>
      <c r="J47" s="3"/>
      <c r="K47" s="4"/>
      <c r="L47" s="4"/>
      <c r="M47" s="4"/>
      <c r="N47" s="16"/>
      <c r="O47" s="16"/>
      <c r="P47" s="16"/>
      <c r="Q47" s="16"/>
      <c r="R47" s="16"/>
      <c r="S47" s="16"/>
      <c r="T47" s="16"/>
      <c r="U47" s="16"/>
      <c r="V47" s="16"/>
      <c r="W47" s="16"/>
      <c r="X47" s="16"/>
      <c r="Y47" s="16"/>
      <c r="Z47" s="16"/>
      <c r="AA47" s="16"/>
      <c r="AB47" s="16"/>
      <c r="AC47" s="16"/>
      <c r="AD47" s="16"/>
      <c r="AE47" s="16"/>
      <c r="AF47" s="16"/>
      <c r="AG47" s="16"/>
      <c r="AH47" s="16"/>
      <c r="AI47" s="16"/>
      <c r="AJ47" s="16"/>
      <c r="AK47" s="16"/>
      <c r="AL47" s="16"/>
      <c r="AM47" s="16"/>
      <c r="AN47" s="16"/>
      <c r="AO47" s="16"/>
      <c r="AP47" s="16"/>
      <c r="AQ47" s="16"/>
      <c r="AR47" s="16"/>
      <c r="AS47" s="16"/>
      <c r="AT47" s="16"/>
      <c r="AU47" s="16"/>
      <c r="AV47" s="16"/>
      <c r="AW47" s="16"/>
      <c r="AX47" s="16"/>
      <c r="AY47" s="16"/>
      <c r="AZ47" s="16"/>
      <c r="BA47" s="16"/>
      <c r="BB47" s="16"/>
      <c r="BC47" s="16"/>
      <c r="BD47" s="16"/>
      <c r="BE47" s="16"/>
      <c r="BF47" s="16"/>
      <c r="BG47" s="16"/>
    </row>
    <row r="48" spans="1:59" x14ac:dyDescent="0.3">
      <c r="A48" s="4"/>
      <c r="B48" s="4"/>
      <c r="C48" s="18"/>
      <c r="D48" s="4"/>
      <c r="E48" s="4"/>
      <c r="F48" s="4"/>
      <c r="G48" s="4"/>
      <c r="H48" s="9"/>
      <c r="I48" s="4"/>
      <c r="J48" s="3"/>
      <c r="K48" s="4"/>
      <c r="L48" s="4"/>
      <c r="M48" s="4"/>
      <c r="N48" s="16"/>
      <c r="O48" s="16"/>
      <c r="P48" s="16"/>
      <c r="Q48" s="16"/>
      <c r="R48" s="16"/>
      <c r="S48" s="16"/>
      <c r="T48" s="16"/>
      <c r="U48" s="16"/>
      <c r="V48" s="16"/>
      <c r="W48" s="16"/>
      <c r="X48" s="16"/>
      <c r="Y48" s="16"/>
      <c r="Z48" s="16"/>
      <c r="AA48" s="16"/>
      <c r="AB48" s="16"/>
      <c r="AC48" s="16"/>
      <c r="AD48" s="16"/>
      <c r="AE48" s="16"/>
      <c r="AF48" s="16"/>
      <c r="AG48" s="16"/>
      <c r="AH48" s="16"/>
      <c r="AI48" s="16"/>
      <c r="AJ48" s="16"/>
      <c r="AK48" s="16"/>
      <c r="AL48" s="16"/>
      <c r="AM48" s="16"/>
      <c r="AN48" s="16"/>
      <c r="AO48" s="16"/>
      <c r="AP48" s="16"/>
      <c r="AQ48" s="16"/>
      <c r="AR48" s="16"/>
      <c r="AS48" s="16"/>
      <c r="AT48" s="16"/>
      <c r="AU48" s="16"/>
      <c r="AV48" s="16"/>
      <c r="AW48" s="16"/>
      <c r="AX48" s="16"/>
      <c r="AY48" s="16"/>
      <c r="AZ48" s="16"/>
      <c r="BA48" s="16"/>
      <c r="BB48" s="16"/>
      <c r="BC48" s="16"/>
      <c r="BD48" s="16"/>
      <c r="BE48" s="16"/>
      <c r="BF48" s="16"/>
      <c r="BG48" s="16"/>
    </row>
    <row r="49" spans="1:59" x14ac:dyDescent="0.3">
      <c r="A49" s="4"/>
      <c r="B49" s="4"/>
      <c r="C49" s="18"/>
      <c r="D49" s="4"/>
      <c r="E49" s="4"/>
      <c r="F49" s="4"/>
      <c r="G49" s="4"/>
      <c r="H49" s="9"/>
      <c r="I49" s="4"/>
      <c r="J49" s="3"/>
      <c r="K49" s="4"/>
      <c r="L49" s="4"/>
      <c r="M49" s="4"/>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6"/>
      <c r="BF49" s="16"/>
      <c r="BG49" s="16"/>
    </row>
    <row r="50" spans="1:59" x14ac:dyDescent="0.3">
      <c r="A50" s="4"/>
      <c r="B50" s="4"/>
      <c r="C50" s="18"/>
      <c r="D50" s="4"/>
      <c r="E50" s="4"/>
      <c r="F50" s="4"/>
      <c r="G50" s="4"/>
      <c r="H50" s="9"/>
      <c r="I50" s="4"/>
      <c r="J50" s="3"/>
      <c r="K50" s="4"/>
      <c r="L50" s="4"/>
      <c r="M50" s="4"/>
      <c r="N50" s="16"/>
      <c r="O50" s="16"/>
      <c r="P50" s="16"/>
      <c r="Q50" s="16"/>
      <c r="R50" s="16"/>
      <c r="S50" s="16"/>
      <c r="T50" s="16"/>
      <c r="U50" s="16"/>
      <c r="V50" s="16"/>
      <c r="W50" s="16"/>
      <c r="X50" s="16"/>
      <c r="Y50" s="16"/>
      <c r="Z50" s="16"/>
      <c r="AA50" s="16"/>
      <c r="AB50" s="16"/>
      <c r="AC50" s="16"/>
      <c r="AD50" s="16"/>
      <c r="AE50" s="16"/>
      <c r="AF50" s="16"/>
      <c r="AG50" s="16"/>
      <c r="AH50" s="16"/>
      <c r="AI50" s="16"/>
      <c r="AJ50" s="16"/>
      <c r="AK50" s="16"/>
      <c r="AL50" s="16"/>
      <c r="AM50" s="16"/>
      <c r="AN50" s="16"/>
      <c r="AO50" s="16"/>
      <c r="AP50" s="16"/>
      <c r="AQ50" s="16"/>
      <c r="AR50" s="16"/>
      <c r="AS50" s="16"/>
      <c r="AT50" s="16"/>
      <c r="AU50" s="16"/>
      <c r="AV50" s="16"/>
      <c r="AW50" s="16"/>
      <c r="AX50" s="16"/>
      <c r="AY50" s="16"/>
      <c r="AZ50" s="16"/>
      <c r="BA50" s="16"/>
      <c r="BB50" s="16"/>
      <c r="BC50" s="16"/>
      <c r="BD50" s="16"/>
      <c r="BE50" s="16"/>
      <c r="BF50" s="16"/>
      <c r="BG50" s="16"/>
    </row>
    <row r="51" spans="1:59" x14ac:dyDescent="0.3">
      <c r="A51" s="4"/>
      <c r="B51" s="4"/>
      <c r="C51" s="18"/>
      <c r="D51" s="4"/>
      <c r="E51" s="4"/>
      <c r="F51" s="4"/>
      <c r="G51" s="4"/>
      <c r="H51" s="9"/>
      <c r="I51" s="4"/>
      <c r="J51" s="3"/>
      <c r="K51" s="4"/>
      <c r="L51" s="4"/>
      <c r="M51" s="4"/>
      <c r="N51" s="16"/>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6"/>
      <c r="BF51" s="16"/>
      <c r="BG51" s="16"/>
    </row>
    <row r="52" spans="1:59" x14ac:dyDescent="0.3">
      <c r="A52" s="4"/>
      <c r="B52" s="4"/>
      <c r="C52" s="18"/>
      <c r="D52" s="4"/>
      <c r="E52" s="4"/>
      <c r="F52" s="4"/>
      <c r="G52" s="4"/>
      <c r="H52" s="9"/>
      <c r="I52" s="4"/>
      <c r="J52" s="3"/>
      <c r="K52" s="4"/>
      <c r="L52" s="4"/>
      <c r="M52" s="4"/>
      <c r="N52" s="16"/>
      <c r="O52" s="16"/>
      <c r="P52" s="16"/>
      <c r="Q52" s="16"/>
      <c r="R52" s="16"/>
      <c r="S52" s="16"/>
      <c r="T52" s="16"/>
      <c r="U52" s="16"/>
      <c r="V52" s="16"/>
      <c r="W52" s="16"/>
      <c r="X52" s="16"/>
      <c r="Y52" s="16"/>
      <c r="Z52" s="16"/>
      <c r="AA52" s="16"/>
      <c r="AB52" s="16"/>
      <c r="AC52" s="16"/>
      <c r="AD52" s="16"/>
      <c r="AE52" s="16"/>
      <c r="AF52" s="16"/>
      <c r="AG52" s="16"/>
      <c r="AH52" s="16"/>
      <c r="AI52" s="16"/>
      <c r="AJ52" s="16"/>
      <c r="AK52" s="16"/>
      <c r="AL52" s="16"/>
      <c r="AM52" s="16"/>
      <c r="AN52" s="16"/>
      <c r="AO52" s="16"/>
      <c r="AP52" s="16"/>
      <c r="AQ52" s="16"/>
      <c r="AR52" s="16"/>
      <c r="AS52" s="16"/>
      <c r="AT52" s="16"/>
      <c r="AU52" s="16"/>
      <c r="AV52" s="16"/>
      <c r="AW52" s="16"/>
      <c r="AX52" s="16"/>
      <c r="AY52" s="16"/>
      <c r="AZ52" s="16"/>
      <c r="BA52" s="16"/>
      <c r="BB52" s="16"/>
      <c r="BC52" s="16"/>
      <c r="BD52" s="16"/>
      <c r="BE52" s="16"/>
      <c r="BF52" s="16"/>
      <c r="BG52" s="16"/>
    </row>
    <row r="53" spans="1:59" x14ac:dyDescent="0.3">
      <c r="A53" s="4"/>
      <c r="B53" s="4"/>
      <c r="C53" s="18"/>
      <c r="D53" s="4"/>
      <c r="E53" s="4"/>
      <c r="F53" s="4"/>
      <c r="G53" s="4"/>
      <c r="H53" s="9"/>
      <c r="I53" s="4"/>
      <c r="J53" s="3"/>
      <c r="K53" s="4"/>
      <c r="L53" s="4"/>
      <c r="M53" s="4"/>
      <c r="N53" s="16"/>
      <c r="O53" s="16"/>
      <c r="P53" s="16"/>
      <c r="Q53" s="16"/>
      <c r="R53" s="16"/>
      <c r="S53" s="16"/>
      <c r="T53" s="16"/>
      <c r="U53" s="16"/>
      <c r="V53" s="16"/>
      <c r="W53" s="16"/>
      <c r="X53" s="16"/>
      <c r="Y53" s="16"/>
      <c r="Z53" s="16"/>
      <c r="AA53" s="16"/>
      <c r="AB53" s="16"/>
      <c r="AC53" s="16"/>
      <c r="AD53" s="16"/>
      <c r="AE53" s="16"/>
      <c r="AF53" s="16"/>
      <c r="AG53" s="16"/>
      <c r="AH53" s="16"/>
      <c r="AI53" s="16"/>
      <c r="AJ53" s="16"/>
      <c r="AK53" s="16"/>
      <c r="AL53" s="16"/>
      <c r="AM53" s="16"/>
      <c r="AN53" s="16"/>
      <c r="AO53" s="16"/>
      <c r="AP53" s="16"/>
      <c r="AQ53" s="16"/>
      <c r="AR53" s="16"/>
      <c r="AS53" s="16"/>
      <c r="AT53" s="16"/>
      <c r="AU53" s="16"/>
      <c r="AV53" s="16"/>
      <c r="AW53" s="16"/>
      <c r="AX53" s="16"/>
      <c r="AY53" s="16"/>
      <c r="AZ53" s="16"/>
      <c r="BA53" s="16"/>
      <c r="BB53" s="16"/>
      <c r="BC53" s="16"/>
      <c r="BD53" s="16"/>
      <c r="BE53" s="16"/>
      <c r="BF53" s="16"/>
      <c r="BG53" s="16"/>
    </row>
    <row r="54" spans="1:59" x14ac:dyDescent="0.3">
      <c r="A54" s="4"/>
      <c r="B54" s="4"/>
      <c r="C54" s="18"/>
      <c r="D54" s="4"/>
      <c r="E54" s="4"/>
      <c r="F54" s="4"/>
      <c r="G54" s="4"/>
      <c r="H54" s="9"/>
      <c r="I54" s="4"/>
      <c r="J54" s="3"/>
      <c r="K54" s="4"/>
      <c r="L54" s="4"/>
      <c r="M54" s="4"/>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row>
    <row r="55" spans="1:59" x14ac:dyDescent="0.3">
      <c r="A55" s="4"/>
      <c r="B55" s="4"/>
      <c r="C55" s="18"/>
      <c r="D55" s="4"/>
      <c r="E55" s="4"/>
      <c r="F55" s="4"/>
      <c r="G55" s="4"/>
      <c r="H55" s="9"/>
      <c r="I55" s="4"/>
      <c r="J55" s="3"/>
      <c r="K55" s="4"/>
      <c r="L55" s="4"/>
      <c r="M55" s="4"/>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row>
    <row r="56" spans="1:59" x14ac:dyDescent="0.3">
      <c r="A56" s="4"/>
      <c r="B56" s="4"/>
      <c r="C56" s="18"/>
      <c r="D56" s="4"/>
      <c r="E56" s="4"/>
      <c r="F56" s="4"/>
      <c r="G56" s="4"/>
      <c r="H56" s="9"/>
      <c r="I56" s="4"/>
      <c r="J56" s="3"/>
      <c r="K56" s="4"/>
      <c r="L56" s="4"/>
      <c r="M56" s="4"/>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row>
    <row r="57" spans="1:59" x14ac:dyDescent="0.3">
      <c r="A57" s="4"/>
      <c r="B57" s="4"/>
      <c r="C57" s="18"/>
      <c r="D57" s="4"/>
      <c r="E57" s="4"/>
      <c r="F57" s="4"/>
      <c r="G57" s="4"/>
      <c r="H57" s="9"/>
      <c r="I57" s="4"/>
      <c r="J57" s="3"/>
      <c r="K57" s="4"/>
      <c r="L57" s="4"/>
      <c r="M57" s="4"/>
      <c r="N57" s="16"/>
      <c r="O57" s="16"/>
      <c r="P57" s="16"/>
      <c r="Q57" s="16"/>
      <c r="R57" s="16"/>
      <c r="S57" s="16"/>
      <c r="T57" s="16"/>
      <c r="U57" s="16"/>
      <c r="V57" s="16"/>
      <c r="W57" s="16"/>
      <c r="X57" s="16"/>
      <c r="Y57" s="16"/>
      <c r="Z57" s="16"/>
      <c r="AA57" s="16"/>
      <c r="AB57" s="16"/>
      <c r="AC57" s="16"/>
      <c r="AD57" s="16"/>
      <c r="AE57" s="16"/>
      <c r="AF57" s="16"/>
      <c r="AG57" s="16"/>
      <c r="AH57" s="16"/>
      <c r="AI57" s="16"/>
      <c r="AJ57" s="16"/>
      <c r="AK57" s="16"/>
      <c r="AL57" s="16"/>
      <c r="AM57" s="16"/>
      <c r="AN57" s="16"/>
      <c r="AO57" s="16"/>
      <c r="AP57" s="16"/>
      <c r="AQ57" s="16"/>
      <c r="AR57" s="16"/>
      <c r="AS57" s="16"/>
      <c r="AT57" s="16"/>
      <c r="AU57" s="16"/>
      <c r="AV57" s="16"/>
      <c r="AW57" s="16"/>
      <c r="AX57" s="16"/>
      <c r="AY57" s="16"/>
      <c r="AZ57" s="16"/>
      <c r="BA57" s="16"/>
      <c r="BB57" s="16"/>
      <c r="BC57" s="16"/>
      <c r="BD57" s="16"/>
      <c r="BE57" s="16"/>
      <c r="BF57" s="16"/>
      <c r="BG57" s="16"/>
    </row>
    <row r="58" spans="1:59" x14ac:dyDescent="0.3">
      <c r="A58" s="4"/>
      <c r="B58" s="4"/>
      <c r="C58" s="18"/>
      <c r="D58" s="4"/>
      <c r="E58" s="4"/>
      <c r="F58" s="4"/>
      <c r="G58" s="4"/>
      <c r="H58" s="9"/>
      <c r="I58" s="4"/>
      <c r="J58" s="3"/>
      <c r="K58" s="4"/>
      <c r="L58" s="4"/>
      <c r="M58" s="4"/>
      <c r="N58" s="16"/>
      <c r="O58" s="16"/>
      <c r="P58" s="16"/>
      <c r="Q58" s="16"/>
      <c r="R58" s="16"/>
      <c r="S58" s="16"/>
      <c r="T58" s="16"/>
      <c r="U58" s="16"/>
      <c r="V58" s="16"/>
      <c r="W58" s="16"/>
      <c r="X58" s="16"/>
      <c r="Y58" s="16"/>
      <c r="Z58" s="16"/>
      <c r="AA58" s="16"/>
      <c r="AB58" s="16"/>
      <c r="AC58" s="16"/>
      <c r="AD58" s="16"/>
      <c r="AE58" s="16"/>
      <c r="AF58" s="16"/>
      <c r="AG58" s="16"/>
      <c r="AH58" s="16"/>
      <c r="AI58" s="16"/>
      <c r="AJ58" s="16"/>
      <c r="AK58" s="16"/>
      <c r="AL58" s="16"/>
      <c r="AM58" s="16"/>
      <c r="AN58" s="16"/>
      <c r="AO58" s="16"/>
      <c r="AP58" s="16"/>
      <c r="AQ58" s="16"/>
      <c r="AR58" s="16"/>
      <c r="AS58" s="16"/>
      <c r="AT58" s="16"/>
      <c r="AU58" s="16"/>
      <c r="AV58" s="16"/>
      <c r="AW58" s="16"/>
      <c r="AX58" s="16"/>
      <c r="AY58" s="16"/>
      <c r="AZ58" s="16"/>
      <c r="BA58" s="16"/>
      <c r="BB58" s="16"/>
      <c r="BC58" s="16"/>
      <c r="BD58" s="16"/>
      <c r="BE58" s="16"/>
      <c r="BF58" s="16"/>
      <c r="BG58" s="16"/>
    </row>
    <row r="59" spans="1:59" x14ac:dyDescent="0.3">
      <c r="A59" s="4"/>
      <c r="B59" s="4"/>
      <c r="C59" s="18"/>
      <c r="D59" s="4"/>
      <c r="E59" s="4"/>
      <c r="F59" s="4"/>
      <c r="G59" s="4"/>
      <c r="H59" s="9"/>
      <c r="I59" s="4"/>
      <c r="J59" s="3"/>
      <c r="K59" s="4"/>
      <c r="L59" s="4"/>
      <c r="M59" s="4"/>
      <c r="N59" s="16"/>
      <c r="O59" s="16"/>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c r="AO59" s="16"/>
      <c r="AP59" s="16"/>
      <c r="AQ59" s="16"/>
      <c r="AR59" s="16"/>
      <c r="AS59" s="16"/>
      <c r="AT59" s="16"/>
      <c r="AU59" s="16"/>
      <c r="AV59" s="16"/>
      <c r="AW59" s="16"/>
      <c r="AX59" s="16"/>
      <c r="AY59" s="16"/>
      <c r="AZ59" s="16"/>
      <c r="BA59" s="16"/>
      <c r="BB59" s="16"/>
      <c r="BC59" s="16"/>
      <c r="BD59" s="16"/>
      <c r="BE59" s="16"/>
      <c r="BF59" s="16"/>
      <c r="BG59" s="16"/>
    </row>
    <row r="60" spans="1:59" x14ac:dyDescent="0.3">
      <c r="A60" s="4"/>
      <c r="B60" s="4"/>
      <c r="C60" s="18"/>
      <c r="D60" s="4"/>
      <c r="E60" s="4"/>
      <c r="F60" s="4"/>
      <c r="G60" s="4"/>
      <c r="H60" s="9"/>
      <c r="I60" s="4"/>
      <c r="J60" s="3"/>
      <c r="K60" s="4"/>
      <c r="L60" s="4"/>
      <c r="M60" s="4"/>
      <c r="N60" s="16"/>
      <c r="O60" s="16"/>
      <c r="P60" s="16"/>
      <c r="Q60" s="16"/>
      <c r="R60" s="16"/>
      <c r="S60" s="16"/>
      <c r="T60" s="16"/>
      <c r="U60" s="16"/>
      <c r="V60" s="16"/>
      <c r="W60" s="16"/>
      <c r="X60" s="16"/>
      <c r="Y60" s="16"/>
      <c r="Z60" s="16"/>
      <c r="AA60" s="16"/>
      <c r="AB60" s="16"/>
      <c r="AC60" s="16"/>
      <c r="AD60" s="16"/>
      <c r="AE60" s="16"/>
      <c r="AF60" s="16"/>
      <c r="AG60" s="16"/>
      <c r="AH60" s="16"/>
      <c r="AI60" s="16"/>
      <c r="AJ60" s="16"/>
      <c r="AK60" s="16"/>
      <c r="AL60" s="16"/>
      <c r="AM60" s="16"/>
      <c r="AN60" s="16"/>
      <c r="AO60" s="16"/>
      <c r="AP60" s="16"/>
      <c r="AQ60" s="16"/>
      <c r="AR60" s="16"/>
      <c r="AS60" s="16"/>
      <c r="AT60" s="16"/>
      <c r="AU60" s="16"/>
      <c r="AV60" s="16"/>
      <c r="AW60" s="16"/>
      <c r="AX60" s="16"/>
      <c r="AY60" s="16"/>
      <c r="AZ60" s="16"/>
      <c r="BA60" s="16"/>
      <c r="BB60" s="16"/>
      <c r="BC60" s="16"/>
      <c r="BD60" s="16"/>
      <c r="BE60" s="16"/>
      <c r="BF60" s="16"/>
      <c r="BG60" s="16"/>
    </row>
    <row r="61" spans="1:59" x14ac:dyDescent="0.3">
      <c r="A61" s="4"/>
      <c r="B61" s="4"/>
      <c r="C61" s="18"/>
      <c r="D61" s="4"/>
      <c r="E61" s="4"/>
      <c r="F61" s="4"/>
      <c r="G61" s="4"/>
      <c r="H61" s="9"/>
      <c r="I61" s="4"/>
      <c r="J61" s="3"/>
      <c r="K61" s="4"/>
      <c r="L61" s="4"/>
      <c r="M61" s="4"/>
      <c r="N61" s="16"/>
      <c r="O61" s="16"/>
      <c r="P61" s="16"/>
      <c r="Q61" s="16"/>
      <c r="R61" s="16"/>
      <c r="S61" s="16"/>
      <c r="T61" s="16"/>
      <c r="U61" s="16"/>
      <c r="V61" s="16"/>
      <c r="W61" s="16"/>
      <c r="X61" s="16"/>
      <c r="Y61" s="16"/>
      <c r="Z61" s="16"/>
      <c r="AA61" s="16"/>
      <c r="AB61" s="16"/>
      <c r="AC61" s="16"/>
      <c r="AD61" s="16"/>
      <c r="AE61" s="16"/>
      <c r="AF61" s="16"/>
      <c r="AG61" s="16"/>
      <c r="AH61" s="16"/>
      <c r="AI61" s="16"/>
      <c r="AJ61" s="16"/>
      <c r="AK61" s="16"/>
      <c r="AL61" s="16"/>
      <c r="AM61" s="16"/>
      <c r="AN61" s="16"/>
      <c r="AO61" s="16"/>
      <c r="AP61" s="16"/>
      <c r="AQ61" s="16"/>
      <c r="AR61" s="16"/>
      <c r="AS61" s="16"/>
      <c r="AT61" s="16"/>
      <c r="AU61" s="16"/>
      <c r="AV61" s="16"/>
      <c r="AW61" s="16"/>
      <c r="AX61" s="16"/>
      <c r="AY61" s="16"/>
      <c r="AZ61" s="16"/>
      <c r="BA61" s="16"/>
      <c r="BB61" s="16"/>
      <c r="BC61" s="16"/>
      <c r="BD61" s="16"/>
      <c r="BE61" s="16"/>
      <c r="BF61" s="16"/>
      <c r="BG61" s="16"/>
    </row>
    <row r="62" spans="1:59" x14ac:dyDescent="0.3">
      <c r="A62" s="4"/>
      <c r="B62" s="4"/>
      <c r="C62" s="18"/>
      <c r="D62" s="4"/>
      <c r="E62" s="4"/>
      <c r="F62" s="4"/>
      <c r="G62" s="4"/>
      <c r="H62" s="9"/>
      <c r="I62" s="4"/>
      <c r="J62" s="3"/>
      <c r="K62" s="4"/>
      <c r="L62" s="4"/>
      <c r="M62" s="4"/>
      <c r="N62" s="16"/>
      <c r="O62" s="16"/>
      <c r="P62" s="16"/>
      <c r="Q62" s="16"/>
      <c r="R62" s="16"/>
      <c r="S62" s="16"/>
      <c r="T62" s="16"/>
      <c r="U62" s="16"/>
      <c r="V62" s="16"/>
      <c r="W62" s="16"/>
      <c r="X62" s="16"/>
      <c r="Y62" s="16"/>
      <c r="Z62" s="16"/>
      <c r="AA62" s="16"/>
      <c r="AB62" s="16"/>
      <c r="AC62" s="16"/>
      <c r="AD62" s="16"/>
      <c r="AE62" s="16"/>
      <c r="AF62" s="16"/>
      <c r="AG62" s="16"/>
      <c r="AH62" s="16"/>
      <c r="AI62" s="16"/>
      <c r="AJ62" s="16"/>
      <c r="AK62" s="16"/>
      <c r="AL62" s="16"/>
      <c r="AM62" s="16"/>
      <c r="AN62" s="16"/>
      <c r="AO62" s="16"/>
      <c r="AP62" s="16"/>
      <c r="AQ62" s="16"/>
      <c r="AR62" s="16"/>
      <c r="AS62" s="16"/>
      <c r="AT62" s="16"/>
      <c r="AU62" s="16"/>
      <c r="AV62" s="16"/>
      <c r="AW62" s="16"/>
      <c r="AX62" s="16"/>
      <c r="AY62" s="16"/>
      <c r="AZ62" s="16"/>
      <c r="BA62" s="16"/>
      <c r="BB62" s="16"/>
      <c r="BC62" s="16"/>
      <c r="BD62" s="16"/>
      <c r="BE62" s="16"/>
      <c r="BF62" s="16"/>
      <c r="BG62" s="16"/>
    </row>
    <row r="63" spans="1:59" x14ac:dyDescent="0.3">
      <c r="A63" s="4"/>
      <c r="B63" s="4"/>
      <c r="C63" s="18"/>
      <c r="D63" s="4"/>
      <c r="E63" s="4"/>
      <c r="F63" s="4"/>
      <c r="G63" s="4"/>
      <c r="H63" s="9"/>
      <c r="I63" s="4"/>
      <c r="J63" s="3"/>
      <c r="K63" s="4"/>
      <c r="L63" s="4"/>
      <c r="M63" s="4"/>
      <c r="N63" s="16"/>
      <c r="O63" s="16"/>
      <c r="P63" s="16"/>
      <c r="Q63" s="16"/>
      <c r="R63" s="16"/>
      <c r="S63" s="16"/>
      <c r="T63" s="16"/>
      <c r="U63" s="16"/>
      <c r="V63" s="16"/>
      <c r="W63" s="16"/>
      <c r="X63" s="16"/>
      <c r="Y63" s="16"/>
      <c r="Z63" s="16"/>
      <c r="AA63" s="16"/>
      <c r="AB63" s="16"/>
      <c r="AC63" s="16"/>
      <c r="AD63" s="16"/>
      <c r="AE63" s="16"/>
      <c r="AF63" s="16"/>
      <c r="AG63" s="16"/>
      <c r="AH63" s="16"/>
      <c r="AI63" s="16"/>
      <c r="AJ63" s="16"/>
      <c r="AK63" s="16"/>
      <c r="AL63" s="16"/>
      <c r="AM63" s="16"/>
      <c r="AN63" s="16"/>
      <c r="AO63" s="16"/>
      <c r="AP63" s="16"/>
      <c r="AQ63" s="16"/>
      <c r="AR63" s="16"/>
      <c r="AS63" s="16"/>
      <c r="AT63" s="16"/>
      <c r="AU63" s="16"/>
      <c r="AV63" s="16"/>
      <c r="AW63" s="16"/>
      <c r="AX63" s="16"/>
      <c r="AY63" s="16"/>
      <c r="AZ63" s="16"/>
      <c r="BA63" s="16"/>
      <c r="BB63" s="16"/>
      <c r="BC63" s="16"/>
      <c r="BD63" s="16"/>
      <c r="BE63" s="16"/>
      <c r="BF63" s="16"/>
      <c r="BG63" s="16"/>
    </row>
    <row r="64" spans="1:59" x14ac:dyDescent="0.3">
      <c r="A64" s="4"/>
      <c r="B64" s="4"/>
      <c r="C64" s="18"/>
      <c r="D64" s="4"/>
      <c r="E64" s="4"/>
      <c r="F64" s="4"/>
      <c r="G64" s="4"/>
      <c r="H64" s="9"/>
      <c r="I64" s="4"/>
      <c r="J64" s="3"/>
      <c r="K64" s="4"/>
      <c r="L64" s="4"/>
      <c r="M64" s="4"/>
      <c r="N64" s="16"/>
      <c r="O64" s="16"/>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c r="AO64" s="16"/>
      <c r="AP64" s="16"/>
      <c r="AQ64" s="16"/>
      <c r="AR64" s="16"/>
      <c r="AS64" s="16"/>
      <c r="AT64" s="16"/>
      <c r="AU64" s="16"/>
      <c r="AV64" s="16"/>
      <c r="AW64" s="16"/>
      <c r="AX64" s="16"/>
      <c r="AY64" s="16"/>
      <c r="AZ64" s="16"/>
      <c r="BA64" s="16"/>
      <c r="BB64" s="16"/>
      <c r="BC64" s="16"/>
      <c r="BD64" s="16"/>
      <c r="BE64" s="16"/>
      <c r="BF64" s="16"/>
      <c r="BG64" s="16"/>
    </row>
    <row r="65" spans="1:59" x14ac:dyDescent="0.3">
      <c r="A65" s="4"/>
      <c r="B65" s="4"/>
      <c r="C65" s="18"/>
      <c r="D65" s="4"/>
      <c r="E65" s="4"/>
      <c r="F65" s="4"/>
      <c r="G65" s="4"/>
      <c r="H65" s="9"/>
      <c r="I65" s="4"/>
      <c r="J65" s="3"/>
      <c r="K65" s="4"/>
      <c r="L65" s="4"/>
      <c r="M65" s="4"/>
      <c r="N65" s="16"/>
      <c r="O65" s="16"/>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c r="AO65" s="16"/>
      <c r="AP65" s="16"/>
      <c r="AQ65" s="16"/>
      <c r="AR65" s="16"/>
      <c r="AS65" s="16"/>
      <c r="AT65" s="16"/>
      <c r="AU65" s="16"/>
      <c r="AV65" s="16"/>
      <c r="AW65" s="16"/>
      <c r="AX65" s="16"/>
      <c r="AY65" s="16"/>
      <c r="AZ65" s="16"/>
      <c r="BA65" s="16"/>
      <c r="BB65" s="16"/>
      <c r="BC65" s="16"/>
      <c r="BD65" s="16"/>
      <c r="BE65" s="16"/>
      <c r="BF65" s="16"/>
      <c r="BG65" s="16"/>
    </row>
    <row r="66" spans="1:59" x14ac:dyDescent="0.3">
      <c r="A66" s="4"/>
      <c r="B66" s="4"/>
      <c r="C66" s="18"/>
      <c r="D66" s="4"/>
      <c r="E66" s="4"/>
      <c r="F66" s="4"/>
      <c r="G66" s="4"/>
      <c r="H66" s="9"/>
      <c r="I66" s="4"/>
      <c r="J66" s="3"/>
      <c r="K66" s="4"/>
      <c r="L66" s="4"/>
      <c r="M66" s="4"/>
      <c r="N66" s="16"/>
      <c r="O66" s="16"/>
      <c r="P66" s="16"/>
      <c r="Q66" s="16"/>
      <c r="R66" s="16"/>
      <c r="S66" s="16"/>
      <c r="T66" s="16"/>
      <c r="U66" s="16"/>
      <c r="V66" s="16"/>
      <c r="W66" s="16"/>
      <c r="X66" s="16"/>
      <c r="Y66" s="16"/>
      <c r="Z66" s="16"/>
      <c r="AA66" s="16"/>
      <c r="AB66" s="16"/>
      <c r="AC66" s="16"/>
      <c r="AD66" s="16"/>
      <c r="AE66" s="16"/>
      <c r="AF66" s="16"/>
      <c r="AG66" s="16"/>
      <c r="AH66" s="16"/>
      <c r="AI66" s="16"/>
      <c r="AJ66" s="16"/>
      <c r="AK66" s="16"/>
      <c r="AL66" s="16"/>
      <c r="AM66" s="16"/>
      <c r="AN66" s="16"/>
      <c r="AO66" s="16"/>
      <c r="AP66" s="16"/>
      <c r="AQ66" s="16"/>
      <c r="AR66" s="16"/>
      <c r="AS66" s="16"/>
      <c r="AT66" s="16"/>
      <c r="AU66" s="16"/>
      <c r="AV66" s="16"/>
      <c r="AW66" s="16"/>
      <c r="AX66" s="16"/>
      <c r="AY66" s="16"/>
      <c r="AZ66" s="16"/>
      <c r="BA66" s="16"/>
      <c r="BB66" s="16"/>
      <c r="BC66" s="16"/>
      <c r="BD66" s="16"/>
      <c r="BE66" s="16"/>
      <c r="BF66" s="16"/>
      <c r="BG66" s="16"/>
    </row>
    <row r="67" spans="1:59" x14ac:dyDescent="0.3">
      <c r="A67" s="4"/>
      <c r="B67" s="4"/>
      <c r="C67" s="18"/>
      <c r="D67" s="4"/>
      <c r="E67" s="4"/>
      <c r="F67" s="4"/>
      <c r="G67" s="4"/>
      <c r="H67" s="9"/>
      <c r="I67" s="4"/>
      <c r="J67" s="3"/>
      <c r="K67" s="4"/>
      <c r="L67" s="4"/>
      <c r="M67" s="4"/>
      <c r="N67" s="16"/>
      <c r="O67" s="16"/>
      <c r="P67" s="16"/>
      <c r="Q67" s="16"/>
      <c r="R67" s="16"/>
      <c r="S67" s="16"/>
      <c r="T67" s="16"/>
      <c r="U67" s="16"/>
      <c r="V67" s="16"/>
      <c r="W67" s="16"/>
      <c r="X67" s="16"/>
      <c r="Y67" s="16"/>
      <c r="Z67" s="16"/>
      <c r="AA67" s="16"/>
      <c r="AB67" s="16"/>
      <c r="AC67" s="16"/>
      <c r="AD67" s="16"/>
      <c r="AE67" s="16"/>
      <c r="AF67" s="16"/>
      <c r="AG67" s="16"/>
      <c r="AH67" s="16"/>
      <c r="AI67" s="16"/>
      <c r="AJ67" s="16"/>
      <c r="AK67" s="16"/>
      <c r="AL67" s="16"/>
      <c r="AM67" s="16"/>
      <c r="AN67" s="16"/>
      <c r="AO67" s="16"/>
      <c r="AP67" s="16"/>
      <c r="AQ67" s="16"/>
      <c r="AR67" s="16"/>
      <c r="AS67" s="16"/>
      <c r="AT67" s="16"/>
      <c r="AU67" s="16"/>
      <c r="AV67" s="16"/>
      <c r="AW67" s="16"/>
      <c r="AX67" s="16"/>
      <c r="AY67" s="16"/>
      <c r="AZ67" s="16"/>
      <c r="BA67" s="16"/>
      <c r="BB67" s="16"/>
      <c r="BC67" s="16"/>
      <c r="BD67" s="16"/>
      <c r="BE67" s="16"/>
      <c r="BF67" s="16"/>
      <c r="BG67" s="16"/>
    </row>
    <row r="68" spans="1:59" x14ac:dyDescent="0.3">
      <c r="A68" s="4"/>
      <c r="B68" s="4"/>
      <c r="C68" s="18"/>
      <c r="D68" s="4"/>
      <c r="E68" s="4"/>
      <c r="F68" s="4"/>
      <c r="G68" s="4"/>
      <c r="H68" s="9"/>
      <c r="I68" s="4"/>
      <c r="J68" s="3"/>
      <c r="K68" s="4"/>
      <c r="L68" s="4"/>
      <c r="M68" s="4"/>
      <c r="N68" s="16"/>
      <c r="O68" s="16"/>
      <c r="P68" s="16"/>
      <c r="Q68" s="16"/>
      <c r="R68" s="16"/>
      <c r="S68" s="16"/>
      <c r="T68" s="16"/>
      <c r="U68" s="16"/>
      <c r="V68" s="16"/>
      <c r="W68" s="16"/>
      <c r="X68" s="16"/>
      <c r="Y68" s="16"/>
      <c r="Z68" s="16"/>
      <c r="AA68" s="16"/>
      <c r="AB68" s="16"/>
      <c r="AC68" s="16"/>
      <c r="AD68" s="16"/>
      <c r="AE68" s="16"/>
      <c r="AF68" s="16"/>
      <c r="AG68" s="16"/>
      <c r="AH68" s="16"/>
      <c r="AI68" s="16"/>
      <c r="AJ68" s="16"/>
      <c r="AK68" s="16"/>
      <c r="AL68" s="16"/>
      <c r="AM68" s="16"/>
      <c r="AN68" s="16"/>
      <c r="AO68" s="16"/>
      <c r="AP68" s="16"/>
      <c r="AQ68" s="16"/>
      <c r="AR68" s="16"/>
      <c r="AS68" s="16"/>
      <c r="AT68" s="16"/>
      <c r="AU68" s="16"/>
      <c r="AV68" s="16"/>
      <c r="AW68" s="16"/>
      <c r="AX68" s="16"/>
      <c r="AY68" s="16"/>
      <c r="AZ68" s="16"/>
      <c r="BA68" s="16"/>
      <c r="BB68" s="16"/>
      <c r="BC68" s="16"/>
      <c r="BD68" s="16"/>
      <c r="BE68" s="16"/>
      <c r="BF68" s="16"/>
      <c r="BG68" s="16"/>
    </row>
    <row r="69" spans="1:59" x14ac:dyDescent="0.3">
      <c r="A69" s="4"/>
      <c r="B69" s="4"/>
      <c r="C69" s="18"/>
      <c r="D69" s="4"/>
      <c r="E69" s="4"/>
      <c r="F69" s="4"/>
      <c r="G69" s="4"/>
      <c r="H69" s="9"/>
      <c r="I69" s="4"/>
      <c r="J69" s="3"/>
      <c r="K69" s="4"/>
      <c r="L69" s="4"/>
      <c r="M69" s="4"/>
      <c r="N69" s="16"/>
      <c r="O69" s="16"/>
      <c r="P69" s="16"/>
      <c r="Q69" s="16"/>
      <c r="R69" s="16"/>
      <c r="S69" s="16"/>
      <c r="T69" s="16"/>
      <c r="U69" s="16"/>
      <c r="V69" s="16"/>
      <c r="W69" s="16"/>
      <c r="X69" s="16"/>
      <c r="Y69" s="16"/>
      <c r="Z69" s="16"/>
      <c r="AA69" s="16"/>
      <c r="AB69" s="16"/>
      <c r="AC69" s="16"/>
      <c r="AD69" s="16"/>
      <c r="AE69" s="16"/>
      <c r="AF69" s="16"/>
      <c r="AG69" s="16"/>
      <c r="AH69" s="16"/>
      <c r="AI69" s="16"/>
      <c r="AJ69" s="16"/>
      <c r="AK69" s="16"/>
      <c r="AL69" s="16"/>
      <c r="AM69" s="16"/>
      <c r="AN69" s="16"/>
      <c r="AO69" s="16"/>
      <c r="AP69" s="16"/>
      <c r="AQ69" s="16"/>
      <c r="AR69" s="16"/>
      <c r="AS69" s="16"/>
      <c r="AT69" s="16"/>
      <c r="AU69" s="16"/>
      <c r="AV69" s="16"/>
      <c r="AW69" s="16"/>
      <c r="AX69" s="16"/>
      <c r="AY69" s="16"/>
      <c r="AZ69" s="16"/>
      <c r="BA69" s="16"/>
      <c r="BB69" s="16"/>
      <c r="BC69" s="16"/>
      <c r="BD69" s="16"/>
      <c r="BE69" s="16"/>
      <c r="BF69" s="16"/>
      <c r="BG69" s="16"/>
    </row>
    <row r="70" spans="1:59" x14ac:dyDescent="0.3">
      <c r="A70" s="4"/>
      <c r="B70" s="4"/>
      <c r="C70" s="18"/>
      <c r="D70" s="4"/>
      <c r="E70" s="4"/>
      <c r="F70" s="4"/>
      <c r="G70" s="4"/>
      <c r="H70" s="9"/>
      <c r="I70" s="4"/>
      <c r="J70" s="3"/>
      <c r="K70" s="4"/>
      <c r="L70" s="4"/>
      <c r="M70" s="4"/>
      <c r="N70" s="16"/>
      <c r="O70" s="16"/>
      <c r="P70" s="16"/>
      <c r="Q70" s="16"/>
      <c r="R70" s="16"/>
      <c r="S70" s="16"/>
      <c r="T70" s="16"/>
      <c r="U70" s="16"/>
      <c r="V70" s="16"/>
      <c r="W70" s="16"/>
      <c r="X70" s="16"/>
      <c r="Y70" s="16"/>
      <c r="Z70" s="16"/>
      <c r="AA70" s="16"/>
      <c r="AB70" s="16"/>
      <c r="AC70" s="16"/>
      <c r="AD70" s="16"/>
      <c r="AE70" s="16"/>
      <c r="AF70" s="16"/>
      <c r="AG70" s="16"/>
      <c r="AH70" s="16"/>
      <c r="AI70" s="16"/>
      <c r="AJ70" s="16"/>
      <c r="AK70" s="16"/>
      <c r="AL70" s="16"/>
      <c r="AM70" s="16"/>
      <c r="AN70" s="16"/>
      <c r="AO70" s="16"/>
      <c r="AP70" s="16"/>
      <c r="AQ70" s="16"/>
      <c r="AR70" s="16"/>
      <c r="AS70" s="16"/>
      <c r="AT70" s="16"/>
      <c r="AU70" s="16"/>
      <c r="AV70" s="16"/>
      <c r="AW70" s="16"/>
      <c r="AX70" s="16"/>
      <c r="AY70" s="16"/>
      <c r="AZ70" s="16"/>
      <c r="BA70" s="16"/>
      <c r="BB70" s="16"/>
      <c r="BC70" s="16"/>
      <c r="BD70" s="16"/>
      <c r="BE70" s="16"/>
      <c r="BF70" s="16"/>
      <c r="BG70" s="16"/>
    </row>
    <row r="71" spans="1:59" x14ac:dyDescent="0.3">
      <c r="A71" s="4"/>
      <c r="B71" s="4"/>
      <c r="C71" s="18"/>
      <c r="D71" s="4"/>
      <c r="E71" s="4"/>
      <c r="F71" s="4"/>
      <c r="G71" s="4"/>
      <c r="H71" s="9"/>
      <c r="I71" s="4"/>
      <c r="J71" s="3"/>
      <c r="K71" s="4"/>
      <c r="L71" s="4"/>
      <c r="M71" s="4"/>
      <c r="N71" s="16"/>
      <c r="O71" s="16"/>
      <c r="P71" s="16"/>
      <c r="Q71" s="16"/>
      <c r="R71" s="16"/>
      <c r="S71" s="16"/>
      <c r="T71" s="16"/>
      <c r="U71" s="16"/>
      <c r="V71" s="16"/>
      <c r="W71" s="16"/>
      <c r="X71" s="16"/>
      <c r="Y71" s="16"/>
      <c r="Z71" s="16"/>
      <c r="AA71" s="16"/>
      <c r="AB71" s="16"/>
      <c r="AC71" s="16"/>
      <c r="AD71" s="16"/>
      <c r="AE71" s="16"/>
      <c r="AF71" s="16"/>
      <c r="AG71" s="16"/>
      <c r="AH71" s="16"/>
      <c r="AI71" s="16"/>
      <c r="AJ71" s="16"/>
      <c r="AK71" s="16"/>
      <c r="AL71" s="16"/>
      <c r="AM71" s="16"/>
      <c r="AN71" s="16"/>
      <c r="AO71" s="16"/>
      <c r="AP71" s="16"/>
      <c r="AQ71" s="16"/>
      <c r="AR71" s="16"/>
      <c r="AS71" s="16"/>
      <c r="AT71" s="16"/>
      <c r="AU71" s="16"/>
      <c r="AV71" s="16"/>
      <c r="AW71" s="16"/>
      <c r="AX71" s="16"/>
      <c r="AY71" s="16"/>
      <c r="AZ71" s="16"/>
      <c r="BA71" s="16"/>
      <c r="BB71" s="16"/>
      <c r="BC71" s="16"/>
      <c r="BD71" s="16"/>
      <c r="BE71" s="16"/>
      <c r="BF71" s="16"/>
      <c r="BG71" s="16"/>
    </row>
    <row r="72" spans="1:59" x14ac:dyDescent="0.3">
      <c r="A72" s="4"/>
      <c r="B72" s="4"/>
      <c r="C72" s="18"/>
      <c r="D72" s="4"/>
      <c r="E72" s="4"/>
      <c r="F72" s="4"/>
      <c r="G72" s="4"/>
      <c r="H72" s="9"/>
      <c r="I72" s="4"/>
      <c r="J72" s="3"/>
      <c r="K72" s="4"/>
      <c r="L72" s="4"/>
      <c r="M72" s="4"/>
      <c r="N72" s="16"/>
      <c r="O72" s="16"/>
      <c r="P72" s="16"/>
      <c r="Q72" s="16"/>
      <c r="R72" s="16"/>
      <c r="S72" s="16"/>
      <c r="T72" s="16"/>
      <c r="U72" s="16"/>
      <c r="V72" s="16"/>
      <c r="W72" s="16"/>
      <c r="X72" s="16"/>
      <c r="Y72" s="16"/>
      <c r="Z72" s="16"/>
      <c r="AA72" s="16"/>
      <c r="AB72" s="16"/>
      <c r="AC72" s="16"/>
      <c r="AD72" s="16"/>
      <c r="AE72" s="16"/>
      <c r="AF72" s="16"/>
      <c r="AG72" s="16"/>
      <c r="AH72" s="16"/>
      <c r="AI72" s="16"/>
      <c r="AJ72" s="16"/>
      <c r="AK72" s="16"/>
      <c r="AL72" s="16"/>
      <c r="AM72" s="16"/>
      <c r="AN72" s="16"/>
      <c r="AO72" s="16"/>
      <c r="AP72" s="16"/>
      <c r="AQ72" s="16"/>
      <c r="AR72" s="16"/>
      <c r="AS72" s="16"/>
      <c r="AT72" s="16"/>
      <c r="AU72" s="16"/>
      <c r="AV72" s="16"/>
      <c r="AW72" s="16"/>
      <c r="AX72" s="16"/>
      <c r="AY72" s="16"/>
      <c r="AZ72" s="16"/>
      <c r="BA72" s="16"/>
      <c r="BB72" s="16"/>
      <c r="BC72" s="16"/>
      <c r="BD72" s="16"/>
      <c r="BE72" s="16"/>
      <c r="BF72" s="16"/>
      <c r="BG72" s="16"/>
    </row>
    <row r="73" spans="1:59" x14ac:dyDescent="0.3">
      <c r="A73" s="4"/>
      <c r="B73" s="4"/>
      <c r="C73" s="18"/>
      <c r="D73" s="4"/>
      <c r="E73" s="4"/>
      <c r="F73" s="4"/>
      <c r="G73" s="4"/>
      <c r="H73" s="9"/>
      <c r="I73" s="9"/>
      <c r="J73" s="3"/>
      <c r="K73" s="4"/>
      <c r="L73" s="4"/>
      <c r="M73" s="4"/>
      <c r="N73" s="16"/>
      <c r="O73" s="16"/>
      <c r="P73" s="16"/>
      <c r="Q73" s="16"/>
      <c r="R73" s="16"/>
      <c r="S73" s="16"/>
      <c r="T73" s="16"/>
      <c r="U73" s="16"/>
      <c r="V73" s="16"/>
      <c r="W73" s="16"/>
      <c r="X73" s="16"/>
      <c r="Y73" s="16"/>
      <c r="Z73" s="16"/>
      <c r="AA73" s="16"/>
      <c r="AB73" s="16"/>
      <c r="AC73" s="16"/>
      <c r="AD73" s="16"/>
      <c r="AE73" s="16"/>
      <c r="AF73" s="16"/>
      <c r="AG73" s="16"/>
      <c r="AH73" s="16"/>
      <c r="AI73" s="16"/>
      <c r="AJ73" s="16"/>
      <c r="AK73" s="16"/>
      <c r="AL73" s="16"/>
      <c r="AM73" s="16"/>
      <c r="AN73" s="16"/>
      <c r="AO73" s="16"/>
      <c r="AP73" s="16"/>
      <c r="AQ73" s="16"/>
      <c r="AR73" s="16"/>
      <c r="AS73" s="16"/>
      <c r="AT73" s="16"/>
      <c r="AU73" s="16"/>
      <c r="AV73" s="16"/>
      <c r="AW73" s="16"/>
      <c r="AX73" s="16"/>
      <c r="AY73" s="16"/>
      <c r="AZ73" s="16"/>
      <c r="BA73" s="16"/>
      <c r="BB73" s="16"/>
      <c r="BC73" s="16"/>
      <c r="BD73" s="16"/>
      <c r="BE73" s="16"/>
      <c r="BF73" s="16"/>
      <c r="BG73" s="16"/>
    </row>
    <row r="74" spans="1:59" x14ac:dyDescent="0.3">
      <c r="A74" s="4"/>
      <c r="B74" s="4"/>
      <c r="C74" s="18"/>
      <c r="D74" s="4"/>
      <c r="E74" s="4"/>
      <c r="F74" s="4"/>
      <c r="G74" s="4"/>
      <c r="H74" s="9"/>
      <c r="I74" s="4"/>
      <c r="J74" s="3"/>
      <c r="K74" s="4"/>
      <c r="L74" s="4"/>
      <c r="M74" s="4"/>
      <c r="N74" s="16"/>
      <c r="O74" s="16"/>
      <c r="P74" s="16"/>
      <c r="Q74" s="16"/>
      <c r="R74" s="16"/>
      <c r="S74" s="16"/>
      <c r="T74" s="16"/>
      <c r="U74" s="16"/>
      <c r="V74" s="16"/>
      <c r="W74" s="16"/>
      <c r="X74" s="16"/>
      <c r="Y74" s="16"/>
      <c r="Z74" s="16"/>
      <c r="AA74" s="16"/>
      <c r="AB74" s="16"/>
      <c r="AC74" s="16"/>
      <c r="AD74" s="16"/>
      <c r="AE74" s="16"/>
      <c r="AF74" s="16"/>
      <c r="AG74" s="16"/>
      <c r="AH74" s="16"/>
      <c r="AI74" s="16"/>
      <c r="AJ74" s="16"/>
      <c r="AK74" s="16"/>
      <c r="AL74" s="16"/>
      <c r="AM74" s="16"/>
      <c r="AN74" s="16"/>
      <c r="AO74" s="16"/>
      <c r="AP74" s="16"/>
      <c r="AQ74" s="16"/>
      <c r="AR74" s="16"/>
      <c r="AS74" s="16"/>
      <c r="AT74" s="16"/>
      <c r="AU74" s="16"/>
      <c r="AV74" s="16"/>
      <c r="AW74" s="16"/>
      <c r="AX74" s="16"/>
      <c r="AY74" s="16"/>
      <c r="AZ74" s="16"/>
      <c r="BA74" s="16"/>
      <c r="BB74" s="16"/>
      <c r="BC74" s="16"/>
      <c r="BD74" s="16"/>
      <c r="BE74" s="16"/>
      <c r="BF74" s="16"/>
      <c r="BG74" s="16"/>
    </row>
    <row r="75" spans="1:59" x14ac:dyDescent="0.3">
      <c r="A75" s="17"/>
      <c r="B75" s="4"/>
      <c r="C75" s="18"/>
      <c r="D75" s="4"/>
      <c r="E75" s="4"/>
      <c r="F75" s="4"/>
      <c r="G75" s="4"/>
      <c r="H75" s="9"/>
      <c r="I75" s="4"/>
      <c r="J75" s="3"/>
      <c r="K75" s="4"/>
      <c r="L75" s="4"/>
      <c r="M75" s="4"/>
      <c r="N75" s="16"/>
      <c r="O75" s="16"/>
      <c r="P75" s="16"/>
      <c r="Q75" s="16"/>
      <c r="R75" s="16"/>
      <c r="S75" s="16"/>
      <c r="T75" s="16"/>
      <c r="U75" s="16"/>
      <c r="V75" s="16"/>
      <c r="W75" s="16"/>
      <c r="X75" s="16"/>
      <c r="Y75" s="16"/>
      <c r="Z75" s="16"/>
      <c r="AA75" s="16"/>
      <c r="AB75" s="16"/>
      <c r="AC75" s="16"/>
      <c r="AD75" s="16"/>
      <c r="AE75" s="16"/>
      <c r="AF75" s="16"/>
      <c r="AG75" s="16"/>
      <c r="AH75" s="16"/>
      <c r="AI75" s="16"/>
      <c r="AJ75" s="16"/>
      <c r="AK75" s="16"/>
      <c r="AL75" s="16"/>
      <c r="AM75" s="16"/>
      <c r="AN75" s="16"/>
      <c r="AO75" s="16"/>
      <c r="AP75" s="16"/>
      <c r="AQ75" s="16"/>
      <c r="AR75" s="16"/>
      <c r="AS75" s="16"/>
      <c r="AT75" s="16"/>
      <c r="AU75" s="16"/>
      <c r="AV75" s="16"/>
      <c r="AW75" s="16"/>
      <c r="AX75" s="16"/>
      <c r="AY75" s="16"/>
      <c r="AZ75" s="16"/>
      <c r="BA75" s="16"/>
      <c r="BB75" s="16"/>
      <c r="BC75" s="16"/>
      <c r="BD75" s="16"/>
      <c r="BE75" s="16"/>
      <c r="BF75" s="16"/>
      <c r="BG75" s="16"/>
    </row>
    <row r="76" spans="1:59" x14ac:dyDescent="0.3">
      <c r="A76" s="17"/>
      <c r="B76" s="4"/>
      <c r="C76" s="18"/>
      <c r="D76" s="4"/>
      <c r="E76" s="4"/>
      <c r="F76" s="4"/>
      <c r="G76" s="4"/>
      <c r="H76" s="9"/>
      <c r="I76" s="4"/>
      <c r="J76" s="3"/>
      <c r="K76" s="4"/>
      <c r="L76" s="4"/>
      <c r="M76" s="4"/>
      <c r="N76" s="16"/>
      <c r="O76" s="16"/>
      <c r="P76" s="16"/>
      <c r="Q76" s="16"/>
      <c r="R76" s="16"/>
      <c r="S76" s="16"/>
      <c r="T76" s="16"/>
      <c r="U76" s="16"/>
      <c r="V76" s="16"/>
      <c r="W76" s="16"/>
      <c r="X76" s="16"/>
      <c r="Y76" s="16"/>
      <c r="Z76" s="16"/>
      <c r="AA76" s="16"/>
      <c r="AB76" s="16"/>
      <c r="AC76" s="16"/>
      <c r="AD76" s="16"/>
      <c r="AE76" s="16"/>
      <c r="AF76" s="16"/>
      <c r="AG76" s="16"/>
      <c r="AH76" s="16"/>
      <c r="AI76" s="16"/>
      <c r="AJ76" s="16"/>
      <c r="AK76" s="16"/>
      <c r="AL76" s="16"/>
      <c r="AM76" s="16"/>
      <c r="AN76" s="16"/>
      <c r="AO76" s="16"/>
      <c r="AP76" s="16"/>
      <c r="AQ76" s="16"/>
      <c r="AR76" s="16"/>
      <c r="AS76" s="16"/>
      <c r="AT76" s="16"/>
      <c r="AU76" s="16"/>
      <c r="AV76" s="16"/>
      <c r="AW76" s="16"/>
      <c r="AX76" s="16"/>
      <c r="AY76" s="16"/>
      <c r="AZ76" s="16"/>
      <c r="BA76" s="16"/>
      <c r="BB76" s="16"/>
      <c r="BC76" s="16"/>
      <c r="BD76" s="16"/>
      <c r="BE76" s="16"/>
      <c r="BF76" s="16"/>
      <c r="BG76" s="16"/>
    </row>
    <row r="77" spans="1:59" x14ac:dyDescent="0.3">
      <c r="A77" s="17"/>
      <c r="B77" s="4"/>
      <c r="C77" s="18"/>
      <c r="D77" s="4"/>
      <c r="E77" s="4"/>
      <c r="F77" s="4"/>
      <c r="G77" s="4"/>
      <c r="H77" s="9"/>
      <c r="I77" s="4"/>
      <c r="J77" s="3"/>
      <c r="K77" s="4"/>
      <c r="L77" s="4"/>
      <c r="M77" s="4"/>
      <c r="N77" s="16"/>
      <c r="O77" s="16"/>
      <c r="P77" s="16"/>
      <c r="Q77" s="16"/>
      <c r="R77" s="16"/>
      <c r="S77" s="16"/>
      <c r="T77" s="16"/>
      <c r="U77" s="16"/>
      <c r="V77" s="16"/>
      <c r="W77" s="16"/>
      <c r="X77" s="16"/>
      <c r="Y77" s="16"/>
      <c r="Z77" s="16"/>
      <c r="AA77" s="16"/>
      <c r="AB77" s="16"/>
      <c r="AC77" s="16"/>
      <c r="AD77" s="16"/>
      <c r="AE77" s="16"/>
      <c r="AF77" s="16"/>
      <c r="AG77" s="16"/>
      <c r="AH77" s="16"/>
      <c r="AI77" s="16"/>
      <c r="AJ77" s="16"/>
      <c r="AK77" s="16"/>
      <c r="AL77" s="16"/>
      <c r="AM77" s="16"/>
      <c r="AN77" s="16"/>
      <c r="AO77" s="16"/>
      <c r="AP77" s="16"/>
      <c r="AQ77" s="16"/>
      <c r="AR77" s="16"/>
      <c r="AS77" s="16"/>
      <c r="AT77" s="16"/>
      <c r="AU77" s="16"/>
      <c r="AV77" s="16"/>
      <c r="AW77" s="16"/>
      <c r="AX77" s="16"/>
      <c r="AY77" s="16"/>
      <c r="AZ77" s="16"/>
      <c r="BA77" s="16"/>
      <c r="BB77" s="16"/>
      <c r="BC77" s="16"/>
      <c r="BD77" s="16"/>
      <c r="BE77" s="16"/>
      <c r="BF77" s="16"/>
      <c r="BG77" s="16"/>
    </row>
    <row r="78" spans="1:59" x14ac:dyDescent="0.3">
      <c r="A78" s="17"/>
      <c r="B78" s="20"/>
      <c r="C78" s="20"/>
      <c r="D78" s="4"/>
      <c r="E78" s="1"/>
      <c r="F78" s="4"/>
      <c r="G78" s="1"/>
      <c r="H78" s="9"/>
      <c r="I78" s="1"/>
      <c r="J78" s="13"/>
      <c r="K78" s="1"/>
      <c r="L78" s="1"/>
      <c r="M78" s="1"/>
      <c r="N78" s="16"/>
      <c r="O78" s="16"/>
      <c r="P78" s="16"/>
      <c r="Q78" s="16"/>
      <c r="R78" s="16"/>
      <c r="S78" s="16"/>
      <c r="T78" s="16"/>
      <c r="U78" s="16"/>
      <c r="V78" s="16"/>
      <c r="W78" s="16"/>
      <c r="X78" s="16"/>
      <c r="Y78" s="16"/>
      <c r="Z78" s="16"/>
      <c r="AA78" s="16"/>
      <c r="AB78" s="16"/>
      <c r="AC78" s="16"/>
      <c r="AD78" s="16"/>
      <c r="AE78" s="16"/>
      <c r="AF78" s="16"/>
      <c r="AG78" s="16"/>
      <c r="AH78" s="16"/>
      <c r="AI78" s="16"/>
      <c r="AJ78" s="16"/>
      <c r="AK78" s="16"/>
      <c r="AL78" s="16"/>
      <c r="AM78" s="16"/>
      <c r="AN78" s="16"/>
      <c r="AO78" s="16"/>
      <c r="AP78" s="16"/>
      <c r="AQ78" s="16"/>
      <c r="AR78" s="16"/>
      <c r="AS78" s="16"/>
      <c r="AT78" s="16"/>
      <c r="AU78" s="16"/>
      <c r="AV78" s="16"/>
      <c r="AW78" s="16"/>
      <c r="AX78" s="16"/>
      <c r="AY78" s="16"/>
      <c r="AZ78" s="16"/>
      <c r="BA78" s="16"/>
      <c r="BB78" s="16"/>
      <c r="BC78" s="16"/>
      <c r="BD78" s="16"/>
      <c r="BE78" s="16"/>
      <c r="BF78" s="16"/>
      <c r="BG78" s="16"/>
    </row>
    <row r="79" spans="1:59" x14ac:dyDescent="0.3">
      <c r="A79" s="17"/>
      <c r="B79" s="20"/>
      <c r="C79" s="20"/>
      <c r="D79" s="4"/>
      <c r="E79" s="1"/>
      <c r="F79" s="4"/>
      <c r="G79" s="1"/>
      <c r="H79" s="9"/>
      <c r="I79" s="1"/>
      <c r="J79" s="13"/>
      <c r="K79" s="1"/>
      <c r="L79" s="1"/>
      <c r="M79" s="1"/>
    </row>
    <row r="80" spans="1:59" x14ac:dyDescent="0.3">
      <c r="A80" s="17"/>
      <c r="B80" s="20"/>
      <c r="C80" s="20"/>
      <c r="D80" s="4"/>
      <c r="E80" s="1"/>
      <c r="F80" s="4"/>
      <c r="G80" s="1"/>
      <c r="H80" s="9"/>
      <c r="I80" s="1"/>
      <c r="J80" s="13"/>
      <c r="K80" s="1"/>
      <c r="L80" s="1"/>
      <c r="M80" s="1"/>
    </row>
    <row r="81" spans="1:13" x14ac:dyDescent="0.3">
      <c r="A81" s="17"/>
      <c r="B81" s="20"/>
      <c r="C81" s="20"/>
      <c r="D81" s="4"/>
      <c r="E81" s="1"/>
      <c r="F81" s="4"/>
      <c r="G81" s="1"/>
      <c r="H81" s="9"/>
      <c r="I81" s="1"/>
      <c r="J81" s="13"/>
      <c r="K81" s="1"/>
      <c r="L81" s="1"/>
      <c r="M81" s="1"/>
    </row>
    <row r="82" spans="1:13" x14ac:dyDescent="0.3">
      <c r="A82" s="17"/>
      <c r="B82" s="20"/>
      <c r="C82" s="20"/>
      <c r="D82" s="4"/>
      <c r="E82" s="1"/>
      <c r="F82" s="4"/>
      <c r="G82" s="1"/>
      <c r="H82" s="9"/>
      <c r="I82" s="1"/>
      <c r="J82" s="1"/>
      <c r="K82" s="1"/>
      <c r="L82" s="1"/>
      <c r="M82" s="1"/>
    </row>
    <row r="83" spans="1:13" x14ac:dyDescent="0.3">
      <c r="A83" s="17"/>
      <c r="B83" s="20"/>
      <c r="C83" s="20"/>
      <c r="D83" s="4"/>
      <c r="E83" s="1"/>
      <c r="F83" s="4"/>
      <c r="G83" s="1"/>
      <c r="H83" s="9"/>
      <c r="I83" s="1"/>
      <c r="J83" s="13"/>
      <c r="K83" s="1"/>
      <c r="L83" s="1"/>
      <c r="M83" s="1"/>
    </row>
    <row r="84" spans="1:13" x14ac:dyDescent="0.3">
      <c r="A84" s="17"/>
      <c r="B84" s="1"/>
      <c r="C84" s="20"/>
      <c r="D84" s="4"/>
      <c r="E84" s="1"/>
      <c r="F84" s="4"/>
      <c r="G84" s="1"/>
      <c r="H84" s="9"/>
      <c r="I84" s="1"/>
      <c r="J84" s="13"/>
      <c r="K84" s="1"/>
      <c r="L84" s="1"/>
      <c r="M84" s="1"/>
    </row>
    <row r="108" spans="4:10" x14ac:dyDescent="0.3">
      <c r="D108" s="19"/>
      <c r="J108" s="5"/>
    </row>
    <row r="109" spans="4:10" x14ac:dyDescent="0.3">
      <c r="D109" s="19"/>
      <c r="J109" s="5"/>
    </row>
    <row r="110" spans="4:10" x14ac:dyDescent="0.3">
      <c r="D110" s="19"/>
      <c r="J110" s="5"/>
    </row>
    <row r="111" spans="4:10" x14ac:dyDescent="0.3">
      <c r="D111" s="19"/>
      <c r="J111" s="5"/>
    </row>
    <row r="112" spans="4:10" x14ac:dyDescent="0.3">
      <c r="D112" s="19"/>
      <c r="J112" s="5"/>
    </row>
    <row r="113" spans="4:10" x14ac:dyDescent="0.3">
      <c r="D113" s="19"/>
      <c r="J113" s="5"/>
    </row>
  </sheetData>
  <autoFilter ref="A1:M84" xr:uid="{B90E5176-B230-4F18-87FA-88CB68D2BC72}">
    <sortState xmlns:xlrd2="http://schemas.microsoft.com/office/spreadsheetml/2017/richdata2" ref="A2:M84">
      <sortCondition ref="F1:F84"/>
    </sortState>
  </autoFilter>
  <conditionalFormatting sqref="F2:F84">
    <cfRule type="expression" dxfId="11" priority="1">
      <formula>F2="Pending w/ dependecy"</formula>
    </cfRule>
    <cfRule type="expression" dxfId="10" priority="2">
      <formula>F2="No revisado"</formula>
    </cfRule>
    <cfRule type="expression" dxfId="9" priority="3">
      <formula>F2="Si"</formula>
    </cfRule>
    <cfRule type="expression" dxfId="8" priority="4">
      <formula>F2="Reactivado"</formula>
    </cfRule>
  </conditionalFormatting>
  <conditionalFormatting sqref="H2:H84">
    <cfRule type="expression" dxfId="7" priority="10">
      <formula>H2="En marcha"</formula>
    </cfRule>
    <cfRule type="expression" dxfId="6" priority="11">
      <formula>H2="Completado"</formula>
    </cfRule>
    <cfRule type="expression" dxfId="5" priority="12">
      <formula>H2="No Comenzado"</formula>
    </cfRule>
    <cfRule type="expression" dxfId="4" priority="13">
      <formula>H2="Hold"</formula>
    </cfRule>
  </conditionalFormatting>
  <conditionalFormatting sqref="K2:K77">
    <cfRule type="cellIs" dxfId="3" priority="5" operator="equal">
      <formula>"Pending w/ dependency"</formula>
    </cfRule>
    <cfRule type="colorScale" priority="9">
      <colorScale>
        <cfvo type="formula" val="&quot;Si&quot;"/>
        <cfvo type="formula" val="&quot;No&quot;"/>
        <color rgb="FF92D050"/>
        <color rgb="FFFF0000"/>
      </colorScale>
    </cfRule>
  </conditionalFormatting>
  <conditionalFormatting sqref="K2:K107 K114:K1048576">
    <cfRule type="cellIs" dxfId="2" priority="6" operator="equal">
      <formula>"Si"</formula>
    </cfRule>
    <cfRule type="containsText" dxfId="1" priority="7" operator="containsText" text="No">
      <formula>NOT(ISERROR(SEARCH("No",K2)))</formula>
    </cfRule>
    <cfRule type="containsText" dxfId="0" priority="8" operator="containsText" text="Si">
      <formula>NOT(ISERROR(SEARCH("Si",K2)))</formula>
    </cfRule>
  </conditionalFormatting>
  <dataValidations count="1">
    <dataValidation type="list" allowBlank="1" showInputMessage="1" showErrorMessage="1" sqref="F2:F84" xr:uid="{5B7A98E4-C7D1-4E56-B2FD-B8760AA3820E}">
      <formula1>$AU$3:$AU$6</formula1>
    </dataValidation>
  </dataValidations>
  <hyperlinks>
    <hyperlink ref="C26" r:id="rId1" display="https://worldwidelearning.visualstudio.com/WWL Accessibility/_workitems/edit/1592691" xr:uid="{061A167D-5F5A-43B7-BC32-312A847C7BC4}"/>
    <hyperlink ref="C27" r:id="rId2" display="https://worldwidelearning.visualstudio.com/WWL Accessibility/_workitems/edit/1592695" xr:uid="{7A0812CA-B70C-4F2C-9D7B-1D647FECA337}"/>
    <hyperlink ref="C28" r:id="rId3" display="https://worldwidelearning.visualstudio.com/WWL Accessibility/_workitems/edit/1592714" xr:uid="{20CFEF86-D92F-4321-9866-1C137CA0BE1D}"/>
    <hyperlink ref="C29" r:id="rId4" display="https://worldwidelearning.visualstudio.com/WWL Accessibility/_workitems/edit/1592717" xr:uid="{A471DB7C-F803-445E-813B-44B63C2DA9F3}"/>
    <hyperlink ref="C30" r:id="rId5" display="https://worldwidelearning.visualstudio.com/WWL Accessibility/_workitems/edit/1592719" xr:uid="{410A07BB-6229-43C0-9F2F-7340B9013FBA}"/>
    <hyperlink ref="C31" r:id="rId6" display="https://worldwidelearning.visualstudio.com/WWL Accessibility/_workitems/edit/1592703" xr:uid="{5B7D832F-E07D-465E-82BA-BE25FC2D3D71}"/>
    <hyperlink ref="C32" r:id="rId7" display="https://worldwidelearning.visualstudio.com/WWL Accessibility/_workitems/edit/1592706" xr:uid="{4B79A1AD-061E-48B3-A714-0BB7B47A4CB3}"/>
    <hyperlink ref="C33" r:id="rId8" display="https://worldwidelearning.visualstudio.com/WWL Accessibility/_workitems/edit/1592707" xr:uid="{037E7EB6-236B-46FB-9B6C-6FB7FC28E49B}"/>
    <hyperlink ref="C34" r:id="rId9" display="https://worldwidelearning.visualstudio.com/WWL Accessibility/_workitems/edit/1592722" xr:uid="{4DB17BDE-CB95-4547-9DC3-701E5550D508}"/>
    <hyperlink ref="C35" r:id="rId10" display="https://worldwidelearning.visualstudio.com/WWL Accessibility/_workitems/edit/1592736" xr:uid="{2152FD8F-4EE7-4A9A-B7EE-299915C012ED}"/>
    <hyperlink ref="C36" r:id="rId11" display="https://worldwidelearning.visualstudio.com/WWL Accessibility/_workitems/edit/1592737" xr:uid="{BD5177DE-FFB5-4AB6-AD8F-D6CE4BFF03CA}"/>
    <hyperlink ref="C37" r:id="rId12" display="https://worldwidelearning.visualstudio.com/WWL Accessibility/_workitems/edit/1592748" xr:uid="{86EFA84A-922E-458E-A7E0-F57F3861E2C8}"/>
    <hyperlink ref="C38" r:id="rId13" display="https://worldwidelearning.visualstudio.com/WWL Accessibility/_workitems/edit/1592699" xr:uid="{B0FCB352-F889-4B31-8E6E-684D805D94F7}"/>
  </hyperlinks>
  <pageMargins left="0.7" right="0.7" top="0.75" bottom="0.75" header="0.3" footer="0.3"/>
  <pageSetup orientation="portrait" r:id="rId14"/>
  <drawing r:id="rId15"/>
  <extLst>
    <ext xmlns:x14="http://schemas.microsoft.com/office/spreadsheetml/2009/9/main" uri="{CCE6A557-97BC-4b89-ADB6-D9C93CAAB3DF}">
      <x14:dataValidations xmlns:xm="http://schemas.microsoft.com/office/excel/2006/main" count="5">
        <x14:dataValidation type="list" allowBlank="1" showInputMessage="1" showErrorMessage="1" xr:uid="{AC1C492C-50AE-4BC6-9FCE-EEFE1E2952C9}">
          <x14:formula1>
            <xm:f>#REF!</xm:f>
          </x14:formula1>
          <xm:sqref>I2</xm:sqref>
        </x14:dataValidation>
        <x14:dataValidation type="list" allowBlank="1" showInputMessage="1" showErrorMessage="1" xr:uid="{CF66EC2B-B6AC-4C1C-8A84-70B9602C93D3}">
          <x14:formula1>
            <xm:f>#REF!</xm:f>
          </x14:formula1>
          <xm:sqref>K2:K77</xm:sqref>
        </x14:dataValidation>
        <x14:dataValidation type="list" allowBlank="1" showInputMessage="1" showErrorMessage="1" xr:uid="{41A6FB8D-6336-46D1-B0F8-18580F89A1F2}">
          <x14:formula1>
            <xm:f>#REF!</xm:f>
          </x14:formula1>
          <xm:sqref>H2:H84</xm:sqref>
        </x14:dataValidation>
        <x14:dataValidation type="list" allowBlank="1" showInputMessage="1" showErrorMessage="1" xr:uid="{3327F414-F1AC-4523-90BF-222E6609402F}">
          <x14:formula1>
            <xm:f>#REF!</xm:f>
          </x14:formula1>
          <xm:sqref>E78:E83 K108:K113 G40:G1048576</xm:sqref>
        </x14:dataValidation>
        <x14:dataValidation type="list" allowBlank="1" showInputMessage="1" showErrorMessage="1" xr:uid="{930BF241-CEAB-43DF-A87C-E96674DAD2B7}">
          <x14:formula1>
            <xm:f>#REF!</xm:f>
          </x14:formula1>
          <xm:sqref>G2:G39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20364D-4AC0-42E1-8CA8-4C93DB87D0DC}">
  <dimension ref="A3:E10"/>
  <sheetViews>
    <sheetView tabSelected="1" workbookViewId="0">
      <selection activeCell="H11" sqref="H11"/>
    </sheetView>
  </sheetViews>
  <sheetFormatPr defaultRowHeight="14.4" x14ac:dyDescent="0.3"/>
  <cols>
    <col min="1" max="1" width="20.44140625" bestFit="1" customWidth="1"/>
    <col min="2" max="2" width="15.5546875" bestFit="1" customWidth="1"/>
    <col min="3" max="3" width="10.77734375" bestFit="1" customWidth="1"/>
    <col min="4" max="4" width="7" bestFit="1" customWidth="1"/>
    <col min="5" max="5" width="10.77734375" bestFit="1" customWidth="1"/>
    <col min="6" max="6" width="9.77734375" bestFit="1" customWidth="1"/>
    <col min="7" max="7" width="11.21875" bestFit="1" customWidth="1"/>
    <col min="8" max="8" width="7.21875" bestFit="1" customWidth="1"/>
    <col min="9" max="9" width="12.77734375" bestFit="1" customWidth="1"/>
    <col min="10" max="10" width="9.21875" bestFit="1" customWidth="1"/>
    <col min="11" max="11" width="11.21875" bestFit="1" customWidth="1"/>
    <col min="12" max="12" width="7.21875" bestFit="1" customWidth="1"/>
    <col min="13" max="13" width="12.21875" bestFit="1" customWidth="1"/>
    <col min="14" max="14" width="11.21875" bestFit="1" customWidth="1"/>
  </cols>
  <sheetData>
    <row r="3" spans="1:5" x14ac:dyDescent="0.3">
      <c r="A3" s="6" t="s">
        <v>188</v>
      </c>
      <c r="B3" s="6" t="s">
        <v>189</v>
      </c>
    </row>
    <row r="4" spans="1:5" x14ac:dyDescent="0.3">
      <c r="A4" s="6" t="s">
        <v>190</v>
      </c>
      <c r="B4" s="8" t="s">
        <v>23</v>
      </c>
      <c r="C4" s="8" t="s">
        <v>27</v>
      </c>
      <c r="D4" s="8" t="s">
        <v>40</v>
      </c>
      <c r="E4" s="8" t="s">
        <v>191</v>
      </c>
    </row>
    <row r="5" spans="1:5" x14ac:dyDescent="0.3">
      <c r="A5" s="7" t="s">
        <v>192</v>
      </c>
      <c r="B5" s="8">
        <v>16</v>
      </c>
      <c r="C5" s="8">
        <v>24</v>
      </c>
      <c r="D5" s="8">
        <v>4</v>
      </c>
      <c r="E5" s="8">
        <v>44</v>
      </c>
    </row>
    <row r="6" spans="1:5" x14ac:dyDescent="0.3">
      <c r="A6" s="7" t="s">
        <v>186</v>
      </c>
      <c r="B6" s="8">
        <v>7</v>
      </c>
      <c r="C6" s="8">
        <v>2</v>
      </c>
      <c r="D6" s="8">
        <v>1</v>
      </c>
      <c r="E6" s="8">
        <v>10</v>
      </c>
    </row>
    <row r="7" spans="1:5" x14ac:dyDescent="0.3">
      <c r="A7" s="7" t="s">
        <v>57</v>
      </c>
      <c r="B7" s="8">
        <v>2</v>
      </c>
      <c r="C7" s="8">
        <v>2</v>
      </c>
      <c r="D7" s="8"/>
      <c r="E7" s="8">
        <v>4</v>
      </c>
    </row>
    <row r="8" spans="1:5" x14ac:dyDescent="0.3">
      <c r="A8" s="7" t="s">
        <v>21</v>
      </c>
      <c r="B8" s="8">
        <v>2</v>
      </c>
      <c r="C8" s="8">
        <v>9</v>
      </c>
      <c r="D8" s="8">
        <v>2</v>
      </c>
      <c r="E8" s="8">
        <v>13</v>
      </c>
    </row>
    <row r="9" spans="1:5" x14ac:dyDescent="0.3">
      <c r="A9" s="7" t="s">
        <v>187</v>
      </c>
      <c r="B9" s="8">
        <v>2</v>
      </c>
      <c r="C9" s="8"/>
      <c r="D9" s="8"/>
      <c r="E9" s="8">
        <v>2</v>
      </c>
    </row>
    <row r="10" spans="1:5" x14ac:dyDescent="0.3">
      <c r="A10" s="7" t="s">
        <v>191</v>
      </c>
      <c r="B10" s="8">
        <v>29</v>
      </c>
      <c r="C10" s="8">
        <v>37</v>
      </c>
      <c r="D10" s="8">
        <v>7</v>
      </c>
      <c r="E10" s="8">
        <v>73</v>
      </c>
    </row>
  </sheetData>
  <pageMargins left="0.7" right="0.7" top="0.75" bottom="0.75" header="0.3" footer="0.3"/>
</worksheet>
</file>

<file path=docMetadata/LabelInfo.xml><?xml version="1.0" encoding="utf-8"?>
<clbl:labelList xmlns:clbl="http://schemas.microsoft.com/office/2020/mipLabelMetadata">
  <clbl:label id="{f42aa342-8706-4288-bd11-ebb85995028c}" enabled="1" method="Standard" siteId="{72f988bf-86f1-41af-91ab-2d7cd011db47}"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Accessibility Bugs 1st Round</vt:lpstr>
      <vt:lpstr>Accessibility Bugs 3rd Round</vt:lpstr>
      <vt:lpstr>Summary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Federico Leal (NEXTANT LLC)</dc:creator>
  <cp:keywords/>
  <dc:description/>
  <cp:lastModifiedBy>Federico   Leal Quintero</cp:lastModifiedBy>
  <cp:revision/>
  <dcterms:created xsi:type="dcterms:W3CDTF">2022-08-10T19:43:31Z</dcterms:created>
  <dcterms:modified xsi:type="dcterms:W3CDTF">2026-01-28T18:39:49Z</dcterms:modified>
  <cp:category/>
  <cp:contentStatus/>
</cp:coreProperties>
</file>